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https://tuwienacat-my.sharepoint.com/personal/andreas_sarkany_tuwien_ac_at/Documents/Desktop/Literature Data for Repo/"/>
    </mc:Choice>
  </mc:AlternateContent>
  <xr:revisionPtr revIDLastSave="1062" documentId="8_{006BBF32-ED03-49EE-98D8-404A9C066788}" xr6:coauthVersionLast="47" xr6:coauthVersionMax="47" xr10:uidLastSave="{49BF50E5-1623-4F81-AF72-284976AB8276}"/>
  <bookViews>
    <workbookView xWindow="28680" yWindow="-120" windowWidth="29040" windowHeight="15720" xr2:uid="{00000000-000D-0000-FFFF-FFFF00000000}"/>
  </bookViews>
  <sheets>
    <sheet name="Cleaned for Lit Review" sheetId="2" r:id="rId1"/>
    <sheet name="Topics" sheetId="3" r:id="rId2"/>
    <sheet name="PHD and Master thesises to read" sheetId="4" r:id="rId3"/>
    <sheet name="Tabelle3" sheetId="5" r:id="rId4"/>
    <sheet name="Sheet1" sheetId="1" r:id="rId5"/>
  </sheets>
  <definedNames>
    <definedName name="_xlnm._FilterDatabase" localSheetId="0" hidden="1">'Cleaned for Lit Review'!$A$1:$AP$158</definedName>
    <definedName name="_xlnm._FilterDatabase" localSheetId="4" hidden="1">Sheet1!$A$1:$AC$158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2" i="2" l="1"/>
  <c r="AB3" i="2"/>
  <c r="AB4" i="2"/>
  <c r="AB5" i="2"/>
  <c r="AB6" i="2"/>
  <c r="AB7" i="2"/>
  <c r="AB8" i="2"/>
  <c r="AB10" i="2"/>
  <c r="AB11" i="2"/>
  <c r="AB12" i="2"/>
  <c r="AB13" i="2"/>
  <c r="AB14" i="2"/>
  <c r="AB15" i="2"/>
  <c r="AB17" i="2"/>
  <c r="AB18" i="2"/>
  <c r="AB19" i="2"/>
  <c r="AB21" i="2"/>
  <c r="AB24" i="2"/>
  <c r="AB25" i="2"/>
  <c r="AB26" i="2"/>
  <c r="AB27" i="2"/>
  <c r="AB28" i="2"/>
  <c r="AB29" i="2"/>
  <c r="AB30" i="2"/>
  <c r="AB31" i="2"/>
  <c r="AB32" i="2"/>
  <c r="AB33" i="2"/>
  <c r="AB34" i="2"/>
  <c r="AB35" i="2"/>
  <c r="AB36" i="2"/>
  <c r="AB39" i="2"/>
  <c r="AB40" i="2"/>
  <c r="AB42" i="2"/>
  <c r="AB43" i="2"/>
  <c r="AB44" i="2"/>
  <c r="AB46" i="2"/>
  <c r="AB47" i="2"/>
  <c r="AB48" i="2"/>
  <c r="AB49" i="2"/>
  <c r="AB51" i="2"/>
  <c r="AB52" i="2"/>
  <c r="AB53" i="2"/>
  <c r="AB54" i="2"/>
  <c r="AB55" i="2"/>
  <c r="AB56" i="2"/>
  <c r="AB57" i="2"/>
  <c r="AB59" i="2"/>
  <c r="AB60" i="2"/>
  <c r="AB61" i="2"/>
  <c r="AB62" i="2"/>
  <c r="AB63" i="2"/>
  <c r="AB64" i="2"/>
  <c r="AB65" i="2"/>
  <c r="AB66" i="2"/>
  <c r="AB67" i="2"/>
  <c r="AB69" i="2"/>
  <c r="AB70" i="2"/>
  <c r="AB71" i="2"/>
  <c r="AB72" i="2"/>
  <c r="AB73" i="2"/>
  <c r="AB74" i="2"/>
  <c r="AB75" i="2"/>
  <c r="AB76" i="2"/>
  <c r="AB77" i="2"/>
  <c r="AB78" i="2"/>
  <c r="AB79" i="2"/>
  <c r="AB80" i="2"/>
  <c r="AB83" i="2"/>
  <c r="AB85" i="2"/>
  <c r="AB87" i="2"/>
  <c r="AB88" i="2"/>
  <c r="AB89" i="2"/>
  <c r="AB90" i="2"/>
  <c r="AB91" i="2"/>
  <c r="AB92" i="2"/>
  <c r="AB93" i="2"/>
  <c r="AB94" i="2"/>
  <c r="AB95" i="2"/>
  <c r="AB96" i="2"/>
  <c r="AB97" i="2"/>
  <c r="AB98" i="2"/>
  <c r="AB99" i="2"/>
  <c r="AB100" i="2"/>
  <c r="AB101" i="2"/>
  <c r="AB103" i="2"/>
  <c r="AB104" i="2"/>
  <c r="AB105" i="2"/>
  <c r="AB106" i="2"/>
  <c r="AB109" i="2"/>
  <c r="AB110" i="2"/>
  <c r="AB112" i="2"/>
  <c r="AB113" i="2"/>
  <c r="AB114" i="2"/>
  <c r="AB115" i="2"/>
  <c r="AB116" i="2"/>
  <c r="AB117" i="2"/>
  <c r="AB118" i="2"/>
  <c r="AB119" i="2"/>
  <c r="AB120" i="2"/>
  <c r="AB121" i="2"/>
  <c r="AB122" i="2"/>
  <c r="AB123" i="2"/>
  <c r="AB124" i="2"/>
  <c r="AB125" i="2"/>
  <c r="AB127" i="2"/>
  <c r="AB128" i="2"/>
  <c r="AB129" i="2"/>
  <c r="AB130" i="2"/>
  <c r="AB131" i="2"/>
  <c r="AB134" i="2"/>
  <c r="AB135" i="2"/>
  <c r="AB137" i="2"/>
  <c r="AB138" i="2"/>
  <c r="AB139" i="2"/>
  <c r="AB141" i="2"/>
  <c r="AB142" i="2"/>
  <c r="AB143" i="2"/>
  <c r="AB144" i="2"/>
  <c r="AB145" i="2"/>
  <c r="AB147" i="2"/>
  <c r="AB148" i="2"/>
  <c r="AB149" i="2"/>
  <c r="AB150" i="2"/>
  <c r="AB151" i="2"/>
  <c r="AB152" i="2"/>
  <c r="AB154" i="2"/>
  <c r="AB155" i="2"/>
  <c r="AB156" i="2"/>
  <c r="AB157" i="2"/>
  <c r="AB158" i="2"/>
  <c r="Z2" i="2"/>
  <c r="Z9" i="2"/>
  <c r="Z13" i="2"/>
  <c r="Z16" i="2"/>
  <c r="Z20" i="2"/>
  <c r="Z22" i="2"/>
  <c r="Z23" i="2"/>
  <c r="Z27" i="2"/>
  <c r="Z29" i="2"/>
  <c r="Z30" i="2"/>
  <c r="Z33" i="2"/>
  <c r="Z35" i="2"/>
  <c r="Z36" i="2"/>
  <c r="Z37" i="2"/>
  <c r="Z38" i="2"/>
  <c r="Z39" i="2"/>
  <c r="Z40" i="2"/>
  <c r="Z41" i="2"/>
  <c r="Z42" i="2"/>
  <c r="Z43" i="2"/>
  <c r="Z45" i="2"/>
  <c r="Z46" i="2"/>
  <c r="Z47" i="2"/>
  <c r="Z48" i="2"/>
  <c r="Z49" i="2"/>
  <c r="Z52" i="2"/>
  <c r="Z55" i="2"/>
  <c r="Z56" i="2"/>
  <c r="Z57" i="2"/>
  <c r="Z58" i="2"/>
  <c r="Z59" i="2"/>
  <c r="Z60" i="2"/>
  <c r="Z61" i="2"/>
  <c r="Z62" i="2"/>
  <c r="Z63" i="2"/>
  <c r="Z64" i="2"/>
  <c r="Z67" i="2"/>
  <c r="Z68" i="2"/>
  <c r="Z70" i="2"/>
  <c r="Z72" i="2"/>
  <c r="Z73" i="2"/>
  <c r="Z74" i="2"/>
  <c r="Z75" i="2"/>
  <c r="Z76" i="2"/>
  <c r="Z79" i="2"/>
  <c r="Z80" i="2"/>
  <c r="Z81" i="2"/>
  <c r="Z82" i="2"/>
  <c r="Z84" i="2"/>
  <c r="Z86" i="2"/>
  <c r="Z87" i="2"/>
  <c r="Z89" i="2"/>
  <c r="Z90" i="2"/>
  <c r="Z91" i="2"/>
  <c r="Z93" i="2"/>
  <c r="Z94" i="2"/>
  <c r="Z95" i="2"/>
  <c r="Z99" i="2"/>
  <c r="Z102" i="2"/>
  <c r="Z103" i="2"/>
  <c r="Z104" i="2"/>
  <c r="Z107" i="2"/>
  <c r="Z108" i="2"/>
  <c r="Z109" i="2"/>
  <c r="Z111" i="2"/>
  <c r="Z113" i="2"/>
  <c r="Z114" i="2"/>
  <c r="Z115" i="2"/>
  <c r="Z116" i="2"/>
  <c r="Z117" i="2"/>
  <c r="Z121" i="2"/>
  <c r="Z122" i="2"/>
  <c r="Z124" i="2"/>
  <c r="Z126" i="2"/>
  <c r="Z129" i="2"/>
  <c r="Z130" i="2"/>
  <c r="Z131" i="2"/>
  <c r="Z132" i="2"/>
  <c r="Z133" i="2"/>
  <c r="Z134" i="2"/>
  <c r="Z135" i="2"/>
  <c r="Z136" i="2"/>
  <c r="Z138" i="2"/>
  <c r="Z139" i="2"/>
  <c r="Z140" i="2"/>
  <c r="Z145" i="2"/>
  <c r="Z146" i="2"/>
  <c r="Z147" i="2"/>
  <c r="Z149" i="2"/>
  <c r="Z152" i="2"/>
  <c r="Z153" i="2"/>
  <c r="Z154" i="2"/>
  <c r="Z155" i="2"/>
  <c r="Z156" i="2"/>
  <c r="S163" i="2"/>
  <c r="S162" i="2"/>
  <c r="S161" i="2"/>
  <c r="S160" i="2"/>
  <c r="S159" i="2"/>
  <c r="S50" i="2"/>
  <c r="S2" i="2"/>
  <c r="S3" i="2"/>
  <c r="S4" i="2"/>
  <c r="S5" i="2"/>
  <c r="S8" i="2"/>
  <c r="S7" i="2"/>
  <c r="S6" i="2"/>
  <c r="S10" i="2"/>
  <c r="S14" i="2"/>
  <c r="S13" i="2"/>
  <c r="S12" i="2"/>
  <c r="S11" i="2"/>
  <c r="S17" i="2"/>
  <c r="S15" i="2"/>
  <c r="S18" i="2"/>
  <c r="S19" i="2"/>
  <c r="S24" i="2"/>
  <c r="S21" i="2"/>
  <c r="S26" i="2"/>
  <c r="S25" i="2"/>
  <c r="S27" i="2"/>
  <c r="S40" i="2"/>
  <c r="S39" i="2"/>
  <c r="S36" i="2"/>
  <c r="S35" i="2"/>
  <c r="S34" i="2"/>
  <c r="S33" i="2"/>
  <c r="S32" i="2"/>
  <c r="S31" i="2"/>
  <c r="S30" i="2"/>
  <c r="S29" i="2"/>
  <c r="S28" i="2"/>
  <c r="S43" i="2"/>
  <c r="S42" i="2"/>
  <c r="S49" i="2"/>
  <c r="S48" i="2"/>
  <c r="S47" i="2"/>
  <c r="S46" i="2"/>
  <c r="S44" i="2"/>
  <c r="S56" i="2"/>
  <c r="S55" i="2"/>
  <c r="S54" i="2"/>
  <c r="S53" i="2"/>
  <c r="S52" i="2"/>
  <c r="S51" i="2"/>
  <c r="S57" i="2"/>
  <c r="S63" i="2"/>
  <c r="S62" i="2"/>
  <c r="S61" i="2"/>
  <c r="S60" i="2"/>
  <c r="S59" i="2"/>
  <c r="S72" i="2"/>
  <c r="S71" i="2"/>
  <c r="S70" i="2"/>
  <c r="S69" i="2"/>
  <c r="S67" i="2"/>
  <c r="S66" i="2"/>
  <c r="S65" i="2"/>
  <c r="S64" i="2"/>
  <c r="S76" i="2"/>
  <c r="S75" i="2"/>
  <c r="S74" i="2"/>
  <c r="S73" i="2"/>
  <c r="S87" i="2"/>
  <c r="S85" i="2"/>
  <c r="S83" i="2"/>
  <c r="S80" i="2"/>
  <c r="S79" i="2"/>
  <c r="S78" i="2"/>
  <c r="S77" i="2"/>
  <c r="S94" i="2"/>
  <c r="S93" i="2"/>
  <c r="S92" i="2"/>
  <c r="S91" i="2"/>
  <c r="S90" i="2"/>
  <c r="S89" i="2"/>
  <c r="S88" i="2"/>
  <c r="S104" i="2"/>
  <c r="S103" i="2"/>
  <c r="S101" i="2"/>
  <c r="S100" i="2"/>
  <c r="S99" i="2"/>
  <c r="S98" i="2"/>
  <c r="S97" i="2"/>
  <c r="S96" i="2"/>
  <c r="S95" i="2"/>
  <c r="S105" i="2"/>
  <c r="S118" i="2"/>
  <c r="S117" i="2"/>
  <c r="S116" i="2"/>
  <c r="S115" i="2"/>
  <c r="S114" i="2"/>
  <c r="S113" i="2"/>
  <c r="S112" i="2"/>
  <c r="S110" i="2"/>
  <c r="S109" i="2"/>
  <c r="S106" i="2"/>
  <c r="S124" i="2"/>
  <c r="S123" i="2"/>
  <c r="S122" i="2"/>
  <c r="S121" i="2"/>
  <c r="S120" i="2"/>
  <c r="S119" i="2"/>
  <c r="S128" i="2"/>
  <c r="S127" i="2"/>
  <c r="S125" i="2"/>
  <c r="S139" i="2"/>
  <c r="S138" i="2"/>
  <c r="S137" i="2"/>
  <c r="S135" i="2"/>
  <c r="S134" i="2"/>
  <c r="S131" i="2"/>
  <c r="S130" i="2"/>
  <c r="S129" i="2"/>
  <c r="S147" i="2"/>
  <c r="S145" i="2"/>
  <c r="S144" i="2"/>
  <c r="S143" i="2"/>
  <c r="S142" i="2"/>
  <c r="S141" i="2"/>
  <c r="S154" i="2"/>
  <c r="S152" i="2"/>
  <c r="S151" i="2"/>
  <c r="S150" i="2"/>
  <c r="S149" i="2"/>
  <c r="S148" i="2"/>
  <c r="S158" i="2"/>
  <c r="S157" i="2"/>
  <c r="S156" i="2"/>
  <c r="S155" i="2"/>
  <c r="U157" i="2"/>
  <c r="Z157" i="2" s="1"/>
  <c r="U5" i="2" l="1"/>
  <c r="Z5" i="2" s="1"/>
  <c r="U3" i="2"/>
  <c r="Z3" i="2" s="1"/>
  <c r="U4" i="2"/>
  <c r="Z4" i="2" s="1"/>
  <c r="U8" i="2"/>
  <c r="Z8" i="2" s="1"/>
  <c r="U7" i="2"/>
  <c r="Z7" i="2" s="1"/>
  <c r="U6" i="2"/>
  <c r="Z6" i="2" s="1"/>
  <c r="U10" i="2"/>
  <c r="Z10" i="2" s="1"/>
  <c r="U14" i="2"/>
  <c r="Z14" i="2" s="1"/>
  <c r="U12" i="2"/>
  <c r="Z12" i="2" s="1"/>
  <c r="U11" i="2"/>
  <c r="Z11" i="2" s="1"/>
  <c r="U17" i="2"/>
  <c r="Z17" i="2" s="1"/>
  <c r="U15" i="2"/>
  <c r="Z15" i="2" s="1"/>
  <c r="U18" i="2"/>
  <c r="Z18" i="2" s="1"/>
  <c r="U19" i="2"/>
  <c r="Z19" i="2" s="1"/>
  <c r="U24" i="2"/>
  <c r="Z24" i="2" s="1"/>
  <c r="U21" i="2"/>
  <c r="Z21" i="2" s="1"/>
  <c r="U26" i="2"/>
  <c r="Z26" i="2" s="1"/>
  <c r="U25" i="2"/>
  <c r="Z25" i="2" s="1"/>
  <c r="U34" i="2"/>
  <c r="Z34" i="2" s="1"/>
  <c r="U32" i="2"/>
  <c r="Z32" i="2" s="1"/>
  <c r="U31" i="2"/>
  <c r="Z31" i="2" s="1"/>
  <c r="U28" i="2"/>
  <c r="Z28" i="2" s="1"/>
  <c r="U44" i="2"/>
  <c r="Z44" i="2" s="1"/>
  <c r="U54" i="2"/>
  <c r="Z54" i="2" s="1"/>
  <c r="U53" i="2"/>
  <c r="Z53" i="2" s="1"/>
  <c r="U51" i="2"/>
  <c r="Z51" i="2" s="1"/>
  <c r="U71" i="2"/>
  <c r="Z71" i="2" s="1"/>
  <c r="U69" i="2"/>
  <c r="Z69" i="2" s="1"/>
  <c r="U66" i="2"/>
  <c r="Z66" i="2" s="1"/>
  <c r="U65" i="2"/>
  <c r="Z65" i="2" s="1"/>
  <c r="U85" i="2"/>
  <c r="Z85" i="2" s="1"/>
  <c r="U83" i="2"/>
  <c r="Z83" i="2" s="1"/>
  <c r="U78" i="2"/>
  <c r="Z78" i="2" s="1"/>
  <c r="U77" i="2"/>
  <c r="Z77" i="2" s="1"/>
  <c r="U92" i="2"/>
  <c r="Z92" i="2" s="1"/>
  <c r="U88" i="2"/>
  <c r="Z88" i="2" s="1"/>
  <c r="U101" i="2"/>
  <c r="Z101" i="2" s="1"/>
  <c r="U100" i="2"/>
  <c r="Z100" i="2" s="1"/>
  <c r="U98" i="2"/>
  <c r="Z98" i="2" s="1"/>
  <c r="U97" i="2"/>
  <c r="Z97" i="2" s="1"/>
  <c r="U96" i="2"/>
  <c r="Z96" i="2" s="1"/>
  <c r="U105" i="2"/>
  <c r="Z105" i="2" s="1"/>
  <c r="U118" i="2"/>
  <c r="Z118" i="2" s="1"/>
  <c r="U112" i="2"/>
  <c r="Z112" i="2" s="1"/>
  <c r="U110" i="2"/>
  <c r="Z110" i="2" s="1"/>
  <c r="U106" i="2"/>
  <c r="Z106" i="2" s="1"/>
  <c r="U123" i="2"/>
  <c r="Z123" i="2" s="1"/>
  <c r="U120" i="2"/>
  <c r="Z120" i="2" s="1"/>
  <c r="U119" i="2"/>
  <c r="Z119" i="2" s="1"/>
  <c r="U128" i="2"/>
  <c r="Z128" i="2" s="1"/>
  <c r="U127" i="2"/>
  <c r="Z127" i="2" s="1"/>
  <c r="U125" i="2"/>
  <c r="Z125" i="2" s="1"/>
  <c r="U137" i="2"/>
  <c r="Z137" i="2" s="1"/>
  <c r="U144" i="2"/>
  <c r="Z144" i="2" s="1"/>
  <c r="U143" i="2"/>
  <c r="Z143" i="2" s="1"/>
  <c r="U142" i="2"/>
  <c r="Z142" i="2" s="1"/>
  <c r="U141" i="2"/>
  <c r="Z141" i="2" s="1"/>
  <c r="U151" i="2"/>
  <c r="Z151" i="2" s="1"/>
  <c r="U150" i="2"/>
  <c r="Z150" i="2" s="1"/>
  <c r="U148" i="2"/>
  <c r="Z148" i="2" s="1"/>
  <c r="U158" i="2"/>
  <c r="Z158" i="2" s="1"/>
</calcChain>
</file>

<file path=xl/sharedStrings.xml><?xml version="1.0" encoding="utf-8"?>
<sst xmlns="http://schemas.openxmlformats.org/spreadsheetml/2006/main" count="5241" uniqueCount="1708">
  <si>
    <t>Authors</t>
  </si>
  <si>
    <t>Title</t>
  </si>
  <si>
    <t>Year</t>
  </si>
  <si>
    <t>Source title</t>
  </si>
  <si>
    <t>Volume</t>
  </si>
  <si>
    <t>Issue</t>
  </si>
  <si>
    <t>Art. No.</t>
  </si>
  <si>
    <t>Page start</t>
  </si>
  <si>
    <t>Page end</t>
  </si>
  <si>
    <t>Page count</t>
  </si>
  <si>
    <t>Cited by</t>
  </si>
  <si>
    <t>DOI</t>
  </si>
  <si>
    <t>Link</t>
  </si>
  <si>
    <t>Abstract</t>
  </si>
  <si>
    <t>Author Keywords</t>
  </si>
  <si>
    <t>Index Keywords</t>
  </si>
  <si>
    <t>References</t>
  </si>
  <si>
    <t>Document Type</t>
  </si>
  <si>
    <t>Publication Stage</t>
  </si>
  <si>
    <t>Open Access</t>
  </si>
  <si>
    <t>Source</t>
  </si>
  <si>
    <t>EID</t>
  </si>
  <si>
    <t>2</t>
  </si>
  <si>
    <t>Article</t>
  </si>
  <si>
    <t>Final</t>
  </si>
  <si>
    <t>Scopus</t>
  </si>
  <si>
    <t>Journal of Physics: Conference Series</t>
  </si>
  <si>
    <t>2654</t>
  </si>
  <si>
    <t>1</t>
  </si>
  <si>
    <t>Conference paper</t>
  </si>
  <si>
    <t>All Open Access; Gold Open Access; Green Open Access</t>
  </si>
  <si>
    <t>Leccese F.; Salvadori G.; Barlit M.</t>
  </si>
  <si>
    <t>Ventilated flat roofs: A simplified model to assess their hygrothermal behaviour</t>
  </si>
  <si>
    <t>Journal of Building Engineering</t>
  </si>
  <si>
    <t>22</t>
  </si>
  <si>
    <t>10.1016/j.jobe.2018.11.009</t>
  </si>
  <si>
    <t>https://www.scopus.com/inward/record.uri?eid=2-s2.0-85057475888&amp;doi=10.1016%2fj.jobe.2018.11.009&amp;partnerID=40&amp;md5=9cb42241782227a21664eafd56f6de27</t>
  </si>
  <si>
    <t>The hygrothermal behaviour of the opaque building envelope (facades and roofs) is a topic worthy of investigation for the scientific community, especially in consideration of changes in construction techniques and lifestyle habits. For the presence of waterproofing layers, placed in the outer part of a structure, hygrothermal behaviour of flat roofs is of particular interest. In this paper, an original analytical model for evaluation of the hygrothermal behaviour of ventilated flat roofs is proposed. In particular, the authors provide a method for assessing the ventilation air flow rates necessary to avoid interstitial condensation in flat roofs. Dependency of the necessary ventilation air flow rates on geometrical, thermophysical, and climate parameters is investigated and discussed. After a simplified analytical treatment applicable to any type of ventilated flat roof, some examples are shown, referred to study cases of flat roofs that are very widespread in Italy. The results obtained by the authors and discussed in the paper can be useful for architects and building engineers during the early design stage of buildings. © 2018 Elsevier Ltd</t>
  </si>
  <si>
    <t>Analytical model; Flat roof; Hygrothermal behaviour; Interstitial condensation; Ventilated roof</t>
  </si>
  <si>
    <t>Air; Analytical models; Condensation; Ventilation; Analytical treatment; Climate parameters; Construction technique; Early design stages; Flat roofs; Hygrothermal; Scientific community; Ventilated roofs; Roofs</t>
  </si>
  <si>
    <t>Zirkelbach D., Mehra S.R., Sedlbauer K.P., Kunzel H.M., Stockl B., A hygrothermal green roof model to simulate moisture and energy performance of building components, Energy Build., 145, pp. 79-91, (2017); Stanek K., Tywoniak J., Richter J., Bureo M., Kopeck P., Volf M., Studies on hygrothermal performance of wood elements in building constructions-remarks on methodology, Wood Res., 61, 4, pp. 637-650, (2016); Moradias P.A., Silva P.D., Castro-Gomes J.P., Salazar M.V., Pires L., Experimental study on hygrothermal behaviour of retrofit solutions applied to old building walls, Constr. Build. Mater., 35, pp. 864-873, (2012); Bellia L., Minichiello F., A simple evaluator of building envelope moisture condensation according to an European Standard, Build. Environ., 38, 3, pp. 457-468, (2003); Barsottelli M., Cellai G.F., Fratini F., Manganelli Del Fa C., The hygrometric behaviour of some artificial stone materials used as elements of masonry walls, Mater. Struct./Mater. Constr., 34, 238, pp. 211-216, (2001); (2012); (2007); (2009); Bluyssen P.M., Towards an integrative approach of improving indoor air quality, Build. Environ., 44, 9, pp. 1980-1989, (2009); Wei S., Jones R., de Wilde P., Driving factors for occupant-controlled space heating in residential buildings, Energy Build., 70, pp. 36-44, (2014); Mumovic D., Ridley I., Oreszczyn T., Davies M., Condensation risk: comparison of steady-state and transient methods, Build. Serv. Eng. Res. Technol., 27, 3, pp. 219-233, (2006); Leccese F., Salvadori G., Asdrubali F., Gori P., Passive thermal behaviour of buildings: performance of external multi-layered walls and influence of internal walls, Appl. Energy, 225, pp. 1078-1089, (2018); Pepe D., Rossetti M., Antoniol E., Covre V., pp. 3744-8, (2016); Alchapar N.L., Correa E.N., Aging of roof coatings. Solar reflectance stability according to their morphological characteristics, Constr. Build. Mater., 102, pp. 297-305, (2016); Bortoloni M., Bottarelli M., Piva S., Summer thermal performance of ventilated roofs with tiled coverings, J. Phys.: Conf. Ser., 796, 1, (2017); D'Orazio M., Di Perna C., Principi P., Stazi A., Effects of roof tile permeability on the thermal performance of ventilated roofs: analysis of annual performance, Energy Build., 40, 5, pp. 911-916, (2008); Ciampi M., Leccese F., Tuoni G., Energy analysis of ventilated and microventilated roofs, Sol. Energy, 79, 2, pp. 183-192, (2005); Walter A., de Brito J., Grandao Lopes J., Current flat roof bituminous membranes waterproofing systems - inspection, diagnosis and pathology classification, Constr. Build. Mater., 19, pp. 233-242, (2005); Gutt G.S., Condensation in Attics: are vapour barriers really the answer?, Energy Build., 2, 4, pp. 251-258, (1979); Zhang T., Tan Y., Yang H., Zhang X., The application of air layers in building envelopes: a review, Appl. Energy, 165, pp. 707-734, (2016); Sadineni S.B., Madala S., Boehm R.F., Passive building energy savings: a review of building envelope components, Renew. Sustain. Energy Rev., 15, 8, pp. 3617-3631, (2011); Bianco V., Diana A., Manca O., Nardini S., Thermal behaviour evaluation of ventilated roof under variable solar radiation, Int. J. Heat. Technol., 34, Special 2, pp. S346-S350, (2016); Gagliano A., Patania F., Nocera F., Ferlito A., Galesi A., Thermal performance of ventilated roofs during summer period, Energy Build., 49, pp. 611-618, (2012); Ciampi M., Leccese F., Tuoni G., Cooling of buildings: energy efficiency improvement through ventilated structures, Sustain. World, 7, pp. 199-210, (2003); Gagliano A., Nocera F., Aneli S., Thermodynamic analysis of ventilated façades under different wind conditions in summer period, Energy Build., 122, pp. 131-139, (2016); Charde M., Gupta R., Effect of energy efficient building elements on summer cooling of buildings, Energy Build., 67, pp. 616-623, (2013); Ciampi M., Leccese F., Tuoni G., Ventilated facades energy performance in summer cooling of buildings, Sol. Energy, 75, 6, pp. 491-502, (2003); Kimouche N., Mahri Z., Abidi-Saad A., Popa C., Polidori G., Maalouf C., Effect of inclination angle of the adiabatic wall in asymmetrically heated channel on natural convection: application to double-skin façade design, J. Build. Eng., 12, pp. 171-177, (2017); Elarga H., De Carli M., Zarrella A., A simplified mathematical model for transient simulation of thermal performance and energy assessment for active facades, Energy Build., 104, pp. 97-107, (2015); D'Orazio M., Perna C.D., Stazi F., Thermal behaviour of vented roofs, Struct. Surv., 27, 5, pp. 411-422, (2009); Li D., Zheng Y., Liu C., Qi H., Liu X., Numerical analysis on thermal performance of naturally ventilated roofs with different influencing parameters, Sustain. Cities Soc., 22, pp. 86-93, (2016); Tian Y., Bai X., Qi B., Sun L., Study on heat fluxes of green roofs based on an improved heat and mass transfer model, Energy Build., 152, pp. 175-184, (2017); Zingre K.T., Yang E.-H., Wan M.P., Dynamic thermal performance of inclined double-skin roof: modelling and experimental investigation, Energy, 133, pp. 900-912, (2017); Tong S., Li H., An efficient model development and experimental study for the heat transfer in naturally ventilated inclined roofs, Build. Environ., 81, pp. 296-308, (2014); Susanti L., Homma H., Matsumoto H., Suzuki Y., Shimizu M., A laboratory experiment on natural ventilation through a roof cavity for reduction of solar heat gain, Energy Build., 40, 12, pp. 2196-2206, (2008); Ghazi Wakili K., Frank T., A humidity dependent vapour retarder in non-ventilated flat roofs. In situ measurements and numerical analysis, Indoor Built Environ., 13, 6, pp. 433-441, (2004); (2017); (2017); (2016); (2014)</t>
  </si>
  <si>
    <t>All Open Access; Green Open Access</t>
  </si>
  <si>
    <t>2-s2.0-85057475888</t>
  </si>
  <si>
    <t>Ge H.; Straube J.; Wang L.; Fox M.J.</t>
  </si>
  <si>
    <t>Field study of hygrothermal performance of highly insulated wood-frame walls under simulated air leakage</t>
  </si>
  <si>
    <t>Building and Environment</t>
  </si>
  <si>
    <t>160</t>
  </si>
  <si>
    <t>106202</t>
  </si>
  <si>
    <t>10.1016/j.buildenv.2019.106202</t>
  </si>
  <si>
    <t>https://www.scopus.com/inward/record.uri?eid=2-s2.0-85067698533&amp;doi=10.1016%2fj.buildenv.2019.106202&amp;partnerID=40&amp;md5=f616d3ecee6ac1aab5b3adc838a580da</t>
  </si>
  <si>
    <t>Climate change has led to governments mandating greater energy efficiency in building codes throughout Canada and the US. Increased energy efficiency requires a high level of insulation of the building envelopes, which may introduce unintended durability concerns. To investigate potential durability issues, six types of high thermal resistance (High RSI) wall assemblies were tested at a building envelope test facility. This study compares the hygrothermal performance of conventional 38 × 140 mm framing (i.e. baseline wall) with three types of deep cavity walls and three types of exterior insulated walls. The wall assemblies tested have an average installed thermal resistance of RSI 6.8 and they were installed at both north and south-facing orientations of the building envelope test facility to observe their relative performance. The hygrothermal conditions of test walls were monitored under three consecutive periods: baseline period without air leakage in fall/winter time, air leakage period with air injection in winter/spring time, and drying period without air leakage in spring time. The hygrothermal performance in terms of moisture content profile of OSB sheathing and mold growth risk at the interior surface of OSB sheathing was analysed with respect to wall types and orientation. The exterior insulated walls had lower moisture content than deep cavity walls and the baseline wall throughout the whole monitoring period, and there was no condensation or mold growth risk under simulated air leakage. Although the deep cavity walls had higher moisture content levels than the baseline wall, they were less responsive to air leakage than the baseline wall due to the hygroscopic characteristics of cellulose fiber insulation installed in the stud cavity. The deep cavity walls had higher risk of moisture problems than the baseline wall and the exterior insulated walls. © 2019 Elsevier Ltd</t>
  </si>
  <si>
    <t>Air leakage; Durability; Field measurement; Highly insulated wood-frame walls; Hygrothermal performance; Mold growth analysis</t>
  </si>
  <si>
    <t>Air; Durability; Leakage; Moisture; Molds; Performance; Test Facilities; Walls; Climate change; Durability; Energy efficiency; Moisture; Moisture determination; Molds; Solar buildings; Test facilities; Air leakage; Field measurement; Hygrothermal performance; Mold growth; Wood frame walls; airflow; durability; fungus; growth determination; insulation; wall; wood; Walls (structural partitions)</t>
  </si>
  <si>
    <t>Ontario Ministry of Municipal Affairs and Housing, Ontario Building Code, Online Resources; NRC IRC, National Energy Code of Canada for Buildings. Ottawa, ON, Canada, (2011); International Code Council, Inc, International Energy Conservation Code, USA, (2012); International Code Council, Inc, International Residential Code, USA, (2012); International Code Council, Inc, International Building Code, USA, (2012); Janssens A., Hens H., Interstitial condensation due to air leakage: a sensitivity analysis, J. Build. Phys., 27, 1, pp. 15-29, (2003); TenWolde A., Rose W.B., Moisture control strategies for the building envelope, J. Build. Phys., 19, 3, pp. 206-214, (1996); Maref W., Armstrong M.M., Rousseau M.Z., Lei W., A field monitoring investigation of the effect of adding different exterior thermal insulation materials on the hygrothermal response of wood-frame walls in a cold climate, Proceedings of the Building Enclosure Science &amp; Technology (BEST2) Conference, Portland, OR, USA, (2010); Arena L.B., Owens D., Mantha P., Measured performance of an R-40 double-stud wall in climate zone 5a, Proceedings of the Thermal Performance of the Exterior Envelopes of Whole Buildings XII International Conference, Clearwater Beach, FL, USA, (2013); Parsons G., Lieburn B., Comparative energy and wall performance of twelve residential houses constructed in a cold climate, Proceedings of the Thermal Performance of the Exterior Envelopes of Whole Buildings XII International Conference, Clearwater Beach, FL, USA, (2013); Craven C., Garber-Slaght R., Exterior insulation envelope retrofits in cold climates: implications for moisture control, HVAC&amp;R Res., 20, pp. 384-394, (2014); Ueno K., Monitoring of Double-Stud Wall Moisture Conditions in the Northeast, Building America Report 1501, (2015); Smegal J., Lstiburek J., Straube J., Grin A., Moisture-related durability of walls with exterior insulation in the Pacific Northwest, Proceedings of the Thermal Performance of the Exterior Envelopes of Whole Buildings XII International Conference, Clearwater Beach, FL, USA, (2013); Glass S., Kochkin V., Drumheller C.S., Barta L., Moisture performance of energy-efficient and conventional wood-frame wall assemblies in a mixed-humid climate, Buildings, 5, pp. 759-782, (2015); Armstrong M., Maref W., Rousseau M.Z., Lei W., Nicholls M., Effect of the Air and Vapour Permeance of Exterior Insulation on the Flow of Moisture in Wood Frame Walls in a Cold Climate, International Conference on Building Envelope Systems and Technologies, Vancouver, Canada, (2010); Ojanen T., Kumaran K., Effect of exfiltration on the hygrothermal behaviour of residential wall assembly, J. Therm. Insul. Bldg. Envs, 19, pp. 215-227, (1996); Karagiozis A.N., Salonvaara M.K., Hygrothermal performance of EIFS-clad walls: effect of vapor diffusion and air leakage on the drying of construction moisture, ASTM STP1352. Water Problems in Building Exterior Walls: Evaluation, Prevention and Repair, pp. 32-59, (1999); Saber H.M., Maref W., Elmahdy A.H., Swinton M.C., Glazer R., 3D heat and air transport model for predicting the thermal resistance of insulated wall assemblies, Int. J. Build. Perform. Simul., 5, 2, pp. 1-17, (2011); Desmarais G., Impact of Added Insulation on the Hygrothermal Performance of Leaky Exterior Wall Assemblies, Master's Thesis, (2000); Derome D., Moisture accumulation in cellulose insulation caused by air leakage in flat wood frame roofs, J. Build. Phys., 28, 3, pp. 269-287, (2005); Langmans J., Klein R., Roels S., Hygrothermal risks of using exterior air barrier systems for highly insulated light weight walls: a laboratory investigation, Build. Environ., 56, pp. 192-202, (2012); Alev U., Uus A., Teder M., Miljan M.J., Kalamees T., Air leakage and hygrothermal performance of an internal insulated log house, The 10the Nordic Symposium on Building Physics, Lund, Sweden, (2014); Fox M., Hygrothermal Performance of Highly Insulated Wood Frame Walls with Air Leakage: Field Measurement and Simulations, Master's Thesis, (2014); Belleudy C., Kayello A., Woloszyn M., Ge H., Experimental and numerical investigations of the effects of air leakage on temperature and moisture fields in porous insulation, Build. Environ., 94, 2, pp. 457-466, (2015); Mukhopadhyaya P., Kumaran M.K., Lackey J.C., van Reenen D., Tariku F., Hygrothermal Properties of Exterior Claddings, Sheathing Boards, Membranes and Insulation Materials for Building Envelope Design, NRCC-50287, (2007); Kumaran M.K., A thermal and moisture property database for common building and insulation materials, ASHRAE Transact., 112, 2, pp. 1-13, (2006); Trainor T., The Hygrothermal Performance of Exterior Insulated Wall Systems, Master;s Thesis, (2014); ASHRAE Handbook: Fundamentals (SI. Ed), (2013); Duffie, Duffie W., Beckman J., Solar Engineering of Thermal Processes, (2006); ASHRAE, ANSI/ASHRAE, Standard 160-2016. Criteria for Moisture-Control Design Analysis in Buildings, (2016); Kunzel H.M., Modelling Air Leakage in Hygrothermal Envelope Simulation, (2012); Ojanen T., Viitanen H., Peuhkuri R., Lahdesmaki K., Vinha J., Salminen K., Mold growth modeling of building structures using sensitivity classes of materials, Thermal Performance of the Exterior Envelopes of Whole Buildings XI International Conference, Clearwater Beach, Florida, USA, (2010)</t>
  </si>
  <si>
    <t>2-s2.0-85067698533</t>
  </si>
  <si>
    <t>Choidis P.; Coelho G.B.A.; Kraniotis D.</t>
  </si>
  <si>
    <t>Assessment of frost damage risk in a historic masonry wall due to climate change</t>
  </si>
  <si>
    <t>Advances in Geosciences</t>
  </si>
  <si>
    <t>58</t>
  </si>
  <si>
    <t>10.5194/adgeo-58-157-2023</t>
  </si>
  <si>
    <t>https://www.scopus.com/inward/record.uri?eid=2-s2.0-85148760714&amp;doi=10.5194%2fadgeo-58-157-2023&amp;partnerID=40&amp;md5=404236d5152299fc018371f2832604c0</t>
  </si>
  <si>
    <t xml:space="preserve">Historic masonry buildings are an integral part of human cultural heritage, and they need to be preserved for future generations. Brick is susceptible to frost damage which is common in regions with cold and humid climates. The frost damage on the masonry walls is accumulated over the years becoming more and more critical for the integrity of the historic buildings and it is also affected by climate change (CC). In the current research, the focus was placed on a coastal region in southern Norway with a significant number of historic masonry buildings. The frost damage risk of the masonry walls was assessed by using data from a climate reanalysis for the present conditions and from a climate model under past, present, and future conditions. Two climate-based (CB) indices accounting for the air temperature and one material response-based (MRB) index considering the temperature and moisture content inside a simulated masonry wall were used for the frost damage risk assessment. The inputs for the MRB index were calculated by heat, air, and moisture (HAM) transfer simulations. Within the HAM simulations, the indoor climate was in one case representative of an unconditioned building with air leakages and many openings, while in the second case it was representative of a small, conditioned room. The overall impact of CC was a decrease in the frost damage risk of the masonry walls. However, an increased frost damage risk was observed from the present to the future conditions according to the MRB index for the walls of small, conditioned rooms with higher driving rain load and lower solar radiation gains. The (i) number of freeze-thaw events, (ii) periods during which freeze-thaw events occur, and (iii) CC-related trends varied based on the considered index with the most explicit risk assessment being the MRB one. Moreover, the freeze-thaw events experienced by the masonry walls of unconditioned, leaky buildings were 20 times more than the ones for the small, conditioned rooms. Significant differences were observed between the results from the climate model and the climate reanalysis which were mainly linked to the underestimation of the air temperature and the overestimation of the precipitation by the climate model. The outputs of the MRB index were translated into certain damage categories while suggestions on improving the limitations of the current research were made.  © Copyright: </t>
  </si>
  <si>
    <t>assessment method; climate change; cultural heritage; damage mechanics; frost; historic building; masonry; solar radiation</t>
  </si>
  <si>
    <t>Al-Omari A., Brunetaud X., Beck K., Al-Mukhtar M., Effect of thermal stress, condensation and freezing-thawing action on the degradation of stones on the Castle of Chambord, France, Environ. Earth Sci, 71, pp. 3977-3989, (2014); Bertolin C., Camuffo D., Deliverable 5.2 Climate change impact on movable and immovable cultural heritage throughout Europe, (2014); Brimblecombe P., Camuffo D., Long term damage to the built environment, The effects of air pollution on the built environment, 2, pp. 1-30, (2003); Brimblecombe P., Grossi C. M., Harris I., Climate change critical to cultural heritage, Survival and sustainability, pp. 195-205, (2010); Califano A., Baiesi M., Bertolin C., Analysing the Main Standards for Climate-Induced Mechanical Risk in Heritage Wooden Structures: The Case of the Ringebu and Heddal Stave Churches (Norway), Atmosphere, 13, (2022); Camuffo D., Microclimate for Cultural Heritage Conservation, Restoration and Maintenance of Indoor and Outdoor Monuments, (2014); EN 15026: Hygrothermal Performance of Building Components and Building Elements-Assessment of Moisture Transfer by Numerical Simulation, (2007); Choidis P., Tsikaloudaki K., Kraniotis D., Hygrothermal performance of log walls in a building of 18th century and prediction of climate change impact on biologi-cal deterioration, E3S Web of Conferences: 12th Nordic Symposium on Building Physics (NSB 2020), 172, (2020); Choidis P., Kraniotis D., Lehtonen I., Hellum B., A Modelling Approach for the Assessment of Climate Change Impact on the Fungal Colonization of Historic Timber Structures, Forests, 12, (2021); Copernicus Climate Change Service: ERA5 Hourly Data on Single Levels from 1979 to Present; Davidson G., Nye J. F., A photoelastic study of ice pressure in rock cracks, Cold Reg. Sci. Technol, 11, pp. 141-153, (1985); De Rose D., Pearson N., Mensinga P., Straube J., Towards a limit states approach to insulating solid masonry walls in a cold climate, Proceedings of the 14th Canadian Conference on Building Science and Technology, pp. 521-530, (2014); Delgado J., Ramos N. M., Barreira E., De Freitas V. P., A critical review of hygrothermal models used in porous building materials, J. Porous Media, 13, pp. 221-234, (2010); Fagerlund G., The critical degree of saturation method of assessing the freeze/thaw resistance of concrete, Mat. Constr, 10, pp. 217-229, (1977); Fagerlund G., The international cooperative test of the critical degree of saturation method of assessing the freeze/thaw resistance of concrete, Mat. Constr, 10, pp. 231-253, (1977); French H. M., The periglacial environment, (2017); Gaur A., Lacasse M., Climate Data to Support the Adaptation of Buildings to Climate Change in Canada, Data, 7, (2022); Gaur A., Lacasse M., Armstrong M., Climate Data to Undertake Hygrothermal and Whole Building Simulations Under Projected Climate Change Influences for 11 Canadian Cities, Data, 4, (2019); Germinario L., Coletti C., Girardi G., Maritan L., Praticelli N., Sassi R., Solstad J., Mazzoli C., Microclimate and Weathering in Cultural Heritage: Design of a Monitoring Apparatus for Field Exposure Tests, Heritage, 5, pp. 3211-3219, (2022); Giorgetta M. A., Jungclaus J., Reick C. H., Legutke S., Bader J., Bottinger M., Brovkin V., Crueger T., Esch M., Fieg K., Climate and carbon cycle changes from 1850 to 2100 in MPI-ESM simulations for the Coupled Model Intercomparison Project phase 5, J. Adv. Model. Earth Syst, 5, pp. 572-597, (2013); Grossi C. M., Brimblecombe P., Harris I., Predicting long term freeze-thaw risks on Europe built heritage and archaeological sites in a changing climate, Sci. Total Environ, 377, pp. 273-281, (2007); Hao L., Herrera D., Troi A., Petitta M., Matiu M., Del Pero C., Assessing the impact of climate change on energy retrofit of alpine historic buildings: consequences for the hygrothermal performance, IOP Conference Series: Earth and Environmental Science, Sustainability in the built environment for climate change mitigation, (2019); Hersbach H., Bell B., Berrisford P., Hirahara S., Horanyi A., Munoz-Sabater J., Nicolas J., Peubey C., Radu R., Schepers D., Simmons A., The ERA5 global reanalysis, Q. J. R. Meteorolog. Soc, 146, pp. 1999-2049, (2020); Climate Change 2007: Synthesis Report, Contribution of Working Groups I, II and III to the Fourth Assessment Report of the Intergovernmental Panel on Climate Change, (2007); Climate Change 2014: Synthesis Report. Contribution of Working Groups I, II and III to the Fifth Assessment Report of the Intergovernmental Panel on Climate Change, (2014); Jacob D., Podzun R., Sensitivity studies with the regional climate model REMO, Meteorol. Atmos. Phys, 63, pp. 119-129, (1997); Jacob D., Petersen J., Eggert B., Alias A., Christensen O. B., Bouwer L. M., Braun A., Colette A., Deque M., Georgievski G., EURO-CORDEX: new high-resolution climate change projections for European impact research, Reg. Environ. Change, 14, pp. 563-578, (2014); Karagiozis A., Hadjisophocleous G., Cao S., Wind-driven rain distributions on two buildings, J. Wind Eng. Ind. Aerodyn, 67, pp. 559-572, (1997); Karagiozis A., Kunzel H., Holm A., WUFI-ORNL/IBP-A North American hygrothermal model, Proceedings of the 8th International Conference on Thermal Performance of the Exterior Envelopes of Whole Buildings, (2001); Kaslegard A. S., Climate change and cultural heritage in the Nordic countries, (2011); Koci J., Madera J., Cerny R., Generation of a critical weather year for hygrothermal simulations using partial weather data sets, Build. Environ, 76, pp. 54-61, (2014); Koci J., Madera J., Keppert M., Cerny R., Damage functions for the cold regions and their applications in hygrothermal simulations of different types of building structures, Cold Reg. Sci. Technol, 135, pp. 1-7, (2017); Kunzel H. M., Simultaneous heat and moisture transport in building components, One-and two-dimensional calculation using simple parameters, (1995); Lehtonen I., Ruosteenoja K., Jylha K., Projected changes in European extreme precipitation indices on the basis of global and regional climate model ensembles, Int. J. Climatol, 34, pp. 1208-1222, (2014); Leissner J., Kilian R., Kotova L., Jacob D., Mikolajewicz U., Brostrom T., Ashley-Smith J., Schellen H. L., Martens M., van Schijndel J., Climate for Culture: assessing the impact of climate change on the future indoor climate in historic buildings using simulations, Herit Sci, 3, pp. 1-15, (2015); Liso K. R., Kvande T., Hygen H. O., Thue J. V., Harstveit K., A frost decay exposure index for porous, mineral building materials, Build. Environ, 42, pp. 3547-3555, (2007); Loli A., Bertolin C., Indoor multi-risk scenarios of climate change effects on building materials in Scandinavian countries, Geosci, 8, (2018); Mantha P., Arena L. B., A systematic approach to hygrothermal modeling and compliance with failure criteria using WUFI, Proceedings of SimBuild Conference: 5th conference of IBPSA USA, 5, pp. 414-422, (2012); Matsuoka N., Mechanisms of rock breakdown by frost action: An experimental approach, Cold Reg. Sci. Technol, 17, pp. 253-270, (1990); Matsuoka N., Microgelivation versus macrogelivation: towards bridging the gap between laboratory and field frost weathering, Permafrost Periglac, 12, pp. 299-313, (2001); Mensinga P., Straube J., Schumacher C., Assessing the freeze-thaw resistance of clay brick for interior insulation retrofit projects, Proceedings of the 11th International Conference on Thermal Performance of the Exterior Envelopes of Whole Buildings, Buildings XI, ASHRAE/DOE Conference, pp. 2-7, (2010); NCI ESGF Node; Nelson F. E., Outcalt S. I., A Computational Method for Prediction and Regionalization of Permafrost, Arct. Alp. Res, 19, pp. 279-288, (1987); Ollier C., Weathering Geomorphology Texts, (1969); Pakkala T. A., Kolio A., Lahdensivu J., Kiviste M., Durability demands related to frost attack for Finnish concrete buildings in changing climate, Build. Environ, 82, pp. 27-41, (2014); Prepens M., Der Einfluß von Beschichtungen und Imprägnierungen auf die Frost-und Witterungsbeständigkeit von Verblendmauerwerk aus Kalksandsteinen, (1991); Raisanen J., Ylhaisi J. S., CO2-induced climate change in northern Europe: CMIP2 versus CMIP3 versus CMIP5, Clim. Dynam, 45, pp. 1877-1897, (2015); Riahi K., Rao S., Krey V., Cho C., Chirkov V., Fischer G., Kindermann G., Nakicenovic N., Rafaj P., RCP 8.5-A scenario of comparatively high greenhouse gas emissions, Clim. Change, 109, pp. 33-57, (2011); Sabbioni C., Brimblecombe P., Cassar M., The atlas of climate change impact on European cultural heritage: scientific analysis and management strategies, (2010); Sahyoun S., Ge H., Defo M., Lacasse M., Evaluating the potential of freeze-thaw damage in internally insulated masonry under climate change using different models, MATECWeb of Conferences 282, 4th Central European Symposium on Building Physics, (2019); Sahyoun S., Wang L., Ge H., Defo M., Lacasse M., Durability of Internally Insulated Historical Solid Masonry Under Future Climates: A Stochastic Approach, Current Topics and Trends on Durability of Building Materials and Components, XV International Conference on Durability of Building Materials and Components, (2020); Said M., Demers R., McSheffrey L., Hygrothermal performance of a masonry wall retrofitted with interior insulation, Research in Building Physics, pp. 445-454, (2020); Salvini S., Bertoncello R., Coletti C., Germinario L., Maritan L., Massironi M., Pozzobon R., Mazzoli C., Recession rate of carbonate rocks used in cultural heritage: Textural control assessed by accelerated ageing tests, J. Cult. Heritage, 57, pp. 154-164, (2022); Sedlbauer K., Kunzel H., Frost damage of masonry walls-a hygrothermal analysis by computer simulations, J. Therm. Envelope Build. Sci, 23, pp. 277-281, (2000); Straube J., Schumacher C., Assessing the durability impacts of energy efficient enclosure upgrades using hygrothermal modeling, WTA-J, 2, pp. 197-222, (2006); Straube J., Ueno K., Schumacher C., Measure guideline: internal insulation of masonry walls, (2012); Straube J., Burnett E., Building science for building enclosures, (2005); Ueno K., Van Straaten R., Schumacher C., Interior insulation of mass masonry walls: Joist monitoring, material test optimization, salt effects, (2013); Ueno K., Straube J., Van Straaten R., Field monitoring and simulation of a historic mass masonry building retrofitted with interior insulation, Proceedings of the 12th International Conference on Thermal Performance of the Exterior Envelopes of Whole Buildings, pp. 56-71, (2013); Ueno K., Kerrigan P., Wytrykowska H., Van Straaten R., Retrofit of a multifamily mass masonry building in New England, (2013); Van Aarle M., Schellen H., van Schijndel J., Hygro thermal simulation to predict the risk of frost damage in masonry; effects of climate change, Energy Procedia, 78, pp. 2536-2541, (2015); Van Straaten R., Trainor P. T., Schumacher M. C., Critical Freeze/Thaw Saturation Measurement of In-Service Masonry, Proceedings of the XIII International Conference on Thermal Performance of the Exterior Envelopes of Whole Buildings, pp. 177-186, (2016); Vandemeulebroucke I., Calle K., Caluwaerts S., De Kock T., Van Den Bossche N., Does historic construction suffer or benefit from the urban heat island effect in Ghent and global warming across Europe, Can. J. Civ. Eng, 46, pp. 1032-1042, (2019); Vandemeulebroucke I., Caluwaerts S., Van Den Bossche N., Freeze-thaw risk in solid masonry: are "hygrothermal response based" analyses mandatory when studying the sensitivity of building envelopes to climate change, Current Topics and Trends on Durability of Building Materials and Components, XV International Conference on Durability of Building Materials and Components, pp. 67-74, (2020); Vandemeulebroucke I., Caluwaerts S., Van Den Bossche N., Factorial Study on the Impact of Climate Change on Freeze-Thaw Damage, Mould Growth and Wood Decay in Solid Masonry Walls in Brussels, Buildings, 11, (2021); Vandemeulebroucke I., Defo M., Lacasse M., Caluwaerts S., Van Den Bossche N., Canadian initial-condition climate ensemble: Hygrothermal simulation on wood-stud and retrofitted historical masonry, Build. Environ, 187, (2021); Viles H. A., Implications of future climate change for stone deterioration, Natural Stone, Weathering Phenomena, Conservation Strategies and Case Studies, J. Geol. Soc. London, pp. 407-418, (2002); Washburn A. L., Geocryology: A survey of periglacial processes and environments, (1979); Washburn A. L., Geocryology: A survey of periglacial processes and environments, (1979); Zhou X., Derome D., Carmeliet J., Hygrothermal modeling and evaluation of freeze-thaw damage risk of masonry walls retrofitted with internal insulation, Build. Environ, 125, pp. 285-298, (2017); Zhou X., Carmeliet J., Derome D., Assessment of risk of freeze-thaw damage in internally insulated masonry in a changing climate, Build. Environ, 175, (2020)</t>
  </si>
  <si>
    <t>All Open Access; Gold Open Access</t>
  </si>
  <si>
    <t>2-s2.0-85148760714</t>
  </si>
  <si>
    <t>119</t>
  </si>
  <si>
    <t>All Open Access; Hybrid Gold Open Access</t>
  </si>
  <si>
    <t>Kölsch P.; Künzel H.; Zirkelbach D.</t>
  </si>
  <si>
    <t>Convective moisture entry in lightweight assemblies - Types of leakage, moisture distribution and conclusions for practice; [Konvektiver Feuchteeintrag in Leichtbaukonstruktionen: Leckagearten, Tauwasserverteilung und Schlussfolgerungen für die Praxis]</t>
  </si>
  <si>
    <t>Bauphysik</t>
  </si>
  <si>
    <t>41</t>
  </si>
  <si>
    <t>5</t>
  </si>
  <si>
    <t>10.1002/bapi.201900022</t>
  </si>
  <si>
    <t>https://www.scopus.com/inward/record.uri?eid=2-s2.0-85073536765&amp;doi=10.1002%2fbapi.201900022&amp;partnerID=40&amp;md5=2d8e8c0286123df72295b790008d295d</t>
  </si>
  <si>
    <t>Convective moisture entry in lightweight assemblies – Types of leakage, moisture distribution and conclusions for practice Compared to the overall building envelope airtightness concerning energetic aspects, the condensation caused by air exfiltration through small remaining leakages is still a challenge today. Convective moisture entry in lightweight assemblies can lead to increased moisture contents and cause massive structural damages even if the leakages are negligible from the energetic point of view. For a better understanding of the processes inside lightweight constructions, hot- and cold-box experiments and airflow measurements on 14 different full-scale wall assemblies under realistic climatic conditions were performed. The influences of different mineral wool densities and leak configurations, as well as different pressure differences were analyzed to draw conclusions for the practice. The results show some interesting aspects about the influencing factors of the convective moisture entry. The distributions of the water content between sheathing and insulation samples show that the main influencing factor is the mineral wool density. Moreover, the findings indicate that the moisture distribution over the height of the sheathing is more influenced by the pressure difference level than by insulation air permeability or arrangements of the small openings. For the tested configurations, a lateral flow due to openings near the posts shows the highest air flow rates and therefore moisture content inside the assemblies. These boundary flow can lead to increased moisture contents in posts or rafters. In addition differences in the flow behavior associated with the leak arrangements could clearly are detected. However, another important finding of these experiments is that, despite good workmanship, a remarkable amount of air and moisture seams to penetrate the sealing tape joints. © 2019, Ernst und Sohn. All rights reserved.</t>
  </si>
  <si>
    <t>adhesive tapes; airflows; condensation; convective moisture entry; Experimental set-ups; General; hygrothermal behavior; infiltration; leakage; lightweight constructions; Moisture; WUFI</t>
  </si>
  <si>
    <t>Wagdy A.F., Airtight Buildings: Past, Present and Future, ASHRAE Journal, 57, pp. 40-50, (2015); Kunzel H.M., Verfahren zur ein- und zweidimensionalen Berechnung des gekoppelten Wärme- und Feuchtetransports in Bauteilen mit einfachen Kennwerten, (1994); DIN EN 15026 (2007): Wärme- und feuchtetechnisches Verhalten von Bauteilen und Bauelementen – Bewertung der Feuchteübertragung durch numerische Simulation.; WTA-Merkblatt 6-2-01/D (2002): Simulation wärme- und feuchtetechnischer Prozesse; DIN 4108-3 (2018): Wärmeschutz und Energie-Einsparung in Gebäuden. Klimabedingter Feuchteschutz, Anforderungen, Berechnungsverfahren und Hinweise für Planung und Ausführung; DIN 68800-2 (2012): Holzschutz – Teil 2: Vorbeugende bauliche Maßnahmen im Hochbau; Zirkelbach D., Schafaczek B., Borsch-Laaks R., Dampfkonvektion wird berechenbar; Instationäres Modell zur Berücksichtigung von konvektivem Feuchteeintrag bei der Simulation von Leichtbaukonstruktionen,  AIVC Conference, (2009); Kolsch P., Zirkelbach D., Nusser B., Wagner R., Zegowitz A., Kunzel H., Airflow through lightweight wall assemblies – influence of size and location of leakages, Conference proceedings: Thermal Performance of the Exterior Envelopes of Whole Buildings. XIII International Conference Clearwater Beach, pp. 459-484, (2016)</t>
  </si>
  <si>
    <t>2-s2.0-85073536765</t>
  </si>
  <si>
    <t>14</t>
  </si>
  <si>
    <t>3</t>
  </si>
  <si>
    <t>Buildings</t>
  </si>
  <si>
    <t>12</t>
  </si>
  <si>
    <t>7</t>
  </si>
  <si>
    <t>28</t>
  </si>
  <si>
    <t>Current Topics and Trends on Durability of Building Materials and Components - Proceedings of the 15th International Conference on Durability of Building Materials and Components, DBMC 2020</t>
  </si>
  <si>
    <t>All Open Access; Green Open Access; Hybrid Gold Open Access</t>
  </si>
  <si>
    <t>9</t>
  </si>
  <si>
    <t>15</t>
  </si>
  <si>
    <t>Wang L.; Ge H.</t>
  </si>
  <si>
    <t>Effect of air leakage on the hygrothermal performance of highly insulated wood frame walls: Comparison of air leakage modelling methods</t>
  </si>
  <si>
    <t>123</t>
  </si>
  <si>
    <t>10.1016/j.buildenv.2017.07.012</t>
  </si>
  <si>
    <t>https://www.scopus.com/inward/record.uri?eid=2-s2.0-85024095348&amp;doi=10.1016%2fj.buildenv.2017.07.012&amp;partnerID=40&amp;md5=b1bfff8c38ff3193176d8db1277332b8</t>
  </si>
  <si>
    <t>Air leakage is one of the important moisture sources that may increase the risk of moisture problems in wood frame walls. Two simplified air leakage modeling methods, i.e. air convection method and air infiltration method, can be implemented in commonly used hygrothermal models. This paper investigates the applicability of these two methods in evaluating the hygrothermal performance of three types of wood frame walls: one baseline 2 × 6 wood frame with fiberglass insulation, two highly insulated walls, i.e. deep cavity wall with I-joist framing and cellulose fiber insulation and 2 × 6 farming with exterior polyisocyanurate insulation and fiberglass stud cavity insulation. Firstly, the hygrothermal models are calibrated by comparison to measurements. Then the best matched models are used for two years' simulation to evaluate the mold growth risk of these walls at various airtightness levels. The results show that both methods can model the effect of air leakage reasonably well by adjusting the position of air layer in the air convection method and the amount of the indoor air reaching the condensation plane in the air infiltration method. The air infiltration method tends to overestimate the moisture content of OSB sheathing, while the air convection method tends to underestimate the moisture content of OSB sheathing. The baseline wall has higher mold growth risk than the I-joist wall with cellulose fiber, while the I-joist wall's mold growth risk becomes slightly higher than the baseline wall when the insulation materials are changed to fiberglass. The exterior insulated wall has no risk of condensation and mold growth. © 2017 Elsevier Ltd</t>
  </si>
  <si>
    <t>Air leakage; Field monitoring; Highly-insulated wood frame walls; Hygrothermal modeling</t>
  </si>
  <si>
    <t>Air; Leakage; Moisture; Risk Assessment; Cellulose; Condensation; Fibers; Glass fibers; Insulation; Moisture; Moisture determination; Molds; Textile fibers; Air leakage; Cellulose fiber insulation; Fiberglass insulation; Field monitoring; Hygrothermal; Hygrothermal performance; Insulation materials; Wood frame walls; comparative study; modeling; moisture content; monitoring; wall; wood; Wood</t>
  </si>
  <si>
    <t>Graham F., Wang J., Ricketts D., Guide for designing energy-efficient building enclosures, (2013); Janssens A., Hens H., Interstitial condensation due to air leakage: a sensitivity analysis, J. Build. Phys., 27, 1, pp. 15-29, (2003); TenWolde A., B. Rose W., Moisture control strategies for the building envelope, J. Build. Phys., 19, 3, pp. 206-214, (1996); Armstrong M., Maref W., Rousseau M.Z., Lei W., Nicholls M., Effect of the air and vapour permeance of exterior insulation on the flow of moisture in wood frame walls in a cold climate, International Conference on Building Envelope Systems and Technologies. Vancouver, Canada, (2010); Desmarais G., Impact of Added Insulation on the Hygrothermal Performance of Leaky Exterior Wall Assemblies, (2000); Derome D., Moisture accumulation in cellulose insulation caused by air leakage in flat wood frame roofs, J. Build. Phys., 28, 3, pp. 269-287, (2005); Langmans J., Klein R., Roels S., Hygrothermal risks of using exterior air barrier systems for highly insulated light weight walls: a laboratory investigation, Build. Environ., 56, pp. 192-202, (2012); Alev U., Uus A., Teder M., Miljan M.J., Kalamees T., Air leakage and hygrothermal performance of an internal insulated log house, The 10the Nordic Symposium on Building Physics; Lund, Sweden, (2014); Ojanen T., Kumaran M.K., Effect of exfiltration on the hygrothermal behaviour of residential wall assembly, J. Therm. Insulation Build. Envelopes, 19, pp. 215-227, (1996); Karagiozis A.N., Kunzel H.M., The effect of air cavity convection on the wetting and drying behavior of wood-frame walls using a multi-physics approach, J. ASTM Int., 6, 10, pp. 1-15, (2009); Saber H.H., Maref W., Elmahdy A.H., Swinton M.C., Glazer R., 3D heat and air transport model for predicting the thermal resistance of insulated wall assemblies, Int. J. Build. Perform. Simul., pp. 1-17, (2011); Hagentoft C.E., Harderup E., Moisture conditions in a north facing wall with cellulose loose fill insulation: constructions with and without vapor retarder and air leakage, J. Build. Phys., 19, 3, pp. 228-243, (1996); Kalamees T., Kurnitski J., Moisture convection performance of external walls and roofs, J. Build. Phys., 33, 3, pp. 225-247, (2010); Saber H.H., Maref W., Risk of condensation and mould growth in wood-frame wall systems with different exterior insulations, Building Enclosure Science &amp; Technology Conference (BEST4), Kansas City, Missouri, USA, (2015); Pallin S., Hun D., Boudreaux P., Simulating air leakage in walls and roofs using indoor and outdoor boundary conditions, Thermal Performance of the Exterior Envelopes of Whole Buildings XIII International Conference, Clearwater Beach, Florida, USA, (2016); Svoboda A., The Effect of Leakages in Roofs with Ventilated Air Layers - a CFD Approach. Building Simulation, (2007); Younes C., Shdid A.C., A methodology for 3-D multiphysics CFD simulation of air leakage in building envelopes, Energy Build., 65, pp. 146-158, (2013); Shdid A.C., Younes C., Validating a new model for rapid multi-dimensional combined heat and air infiltration building energy simulation, Energy Build., 87, pp. 185-198, (2015); Belleudy C., Kayello A., Woloszyn M., Ge H., Experimental and numerical investigations of the effects of air leakage on temperature and moisture fields in porous insulation, Build. Environ., 94, 2, pp. 457-466, (2015); Kunzel H.M., Modelling air leakage in hygrothermal envelope simulation, Building Enclosure Science &amp; Technology (BEST3) Conference, Atlanta, USA, (2012); Delphin, Version 5.8.3. PC-Program for Calculating the Coupled Heat and Moisture Transfer in Building Components, (2015); Fox M.J., Hygrothermal Performance of Highly Insulated Wood Frame Walls with Air Leakage: Field Measurements and Simulations, (2014); Kumaran M.K., Lackey J.C., Normandin N., Tariku F., van Reenen D., Variation in the hygrothermal properties of several wood-based building products, Second International Building Physics Conference, Leuven, Belgium, (2003); Mukhopadhyaya P., Kumaran M.K., Lackey J.C., van Reenen D., Tariku F., Hygrothermal Properties of Exterior Claddings, Sheathing Boards, Membranes and Insulation Materials for Building Envelope Design, (2007); ASHRAE, ANSI/ASHRAE Standard 160-2009. Criteria for Moisture-control Design Analysis in Buildings, (2009); ASHRAE, ANSI/ASHRAE Addendum e to Standard 160-2009. Criteria for Moisture-Control Design Analysis in Buildings, (2016); Ojanen T., Viitanen H., Peuhkuri R., Lahdesmaki K., Vinha J., Salminen K., Mold growth modeling of building structures using sensitivity classes of materials, Thermal Performance of the Exterior Envelopes of Whole Buildings XI International Conference, Clearwater Beach, Florida, USA, (2010); ASHRAE, ASHRAE Handbook: Fundamentals (SI. Ed), (2013)</t>
  </si>
  <si>
    <t>2-s2.0-85024095348</t>
  </si>
  <si>
    <t>Asphaug S.; Geving S.; Moschetti R.</t>
  </si>
  <si>
    <t>Development of smart control system for leakage warning in compact roofs</t>
  </si>
  <si>
    <t>012096</t>
  </si>
  <si>
    <t>10.1088/1742-6596/2654/1/012096</t>
  </si>
  <si>
    <t>https://www.scopus.com/inward/record.uri?eid=2-s2.0-85181171467&amp;doi=10.1088%2f1742-6596%2f2654%2f1%2f012096&amp;partnerID=40&amp;md5=5ad45d8a7f2be860562e095a6fa9c7a6</t>
  </si>
  <si>
    <t>Smart Sensor technologies to monitor temperature and moisture conditions in building components, can be used to give automatic warnings for abnormal high levels of moisture. Flat compact roofs are of particular interest, especially due to their vulnerability to rain leakages through the roofing membrane. Installing moisture sensors in such a roof measuring relative humidity (RH) or free water may give an early warning of rain leakages or condensation due to air leakages from indoors - before they start to get problematic. One challenge is, however, that normal moisture redistribution in the insulation layer over the season or day may give very high levels of RH in the top or bottom part of the insulation. The sensor system must be able to distinguish between these normal levels and leakage events. Together with a sensor technology and control system producer we have previously developed a semi-quantitative system that defines typical or normal RH levels in the insulation layer during the year. This system was based on hygrothermal simulations for various conditions, such as different exterior climate and levels of built-in moisture. This paper presents the preliminary findings from the further development of the system using real measurements from two pilot buildings located in Norway.  © Published under licence by IOP Publishing Ltd.</t>
  </si>
  <si>
    <t>Control systems; Insulation; Moisture control; Rain; %moisture; Free water; In-buildings; Insulation layers; Moisture conditions; Moisture sensors; Roofing membranes; Smart control systems; Smart sensor technology; Temperature conditions; Roofs</t>
  </si>
  <si>
    <t>Mochetti R, Nocente A, Geving S, Gullbrekken L, Semi-quantitative assessment system of expected moisture levels in compact roofs 5th Central European symposium on building physics (CESBP 2022) Bratislava, (2022); Bunkholt N S., Gullbrekken L, Time B, Kvande T, Process induced building defects in Norway-development and climate risks, J. Physics: Conf. Ser, (2021)</t>
  </si>
  <si>
    <t>2-s2.0-85181171467</t>
  </si>
  <si>
    <t>Lomp S.; Kalbe K.; Kalamees T.</t>
  </si>
  <si>
    <t>MOISTURE DRYING CAPACITY OF MINERAL WOOL INSULATED STEEL-FACED SANDWICH PANELS BY CONVECTION</t>
  </si>
  <si>
    <t>Acta Polytechnica CTU Proceedings</t>
  </si>
  <si>
    <t>38</t>
  </si>
  <si>
    <t>10.14311/APP.2022.38.0347</t>
  </si>
  <si>
    <t>https://www.scopus.com/inward/record.uri?eid=2-s2.0-85159939316&amp;doi=10.14311%2fAPP.2022.38.0347&amp;partnerID=40&amp;md5=7aed82f8aa7bfb8971cc6c94a7522aa6</t>
  </si>
  <si>
    <t>This study analyses moisture dry-out from a steel-faced insulated sandwich panel by forced convection. Moisture convection performance was studied by laboratory tests and simulation. Two test walls with the lower parts close to the free water level were studied in a laboratory with and without convection. In addition, a real-scale wall was built to south orientate direction. Measurements were also used for simulation model calibration. The hygrothermal simulations were performed with the simulation tool Delphin in stable climatic conditions to determine the magnitude of the convection moisture dry-out capacity. Comparison of the measured and simulated relative humidity showed sufficiently good agreement. The results indicate that convection significantly improves dry-out capacity, especially during summer. However, during autumn and winter their dry-out capacity was smaller. To minimise the wetting of insulation, weather protection during construction and storage is necessary. © 2022 The Author(s).</t>
  </si>
  <si>
    <t>Drying of structures; hygrothermal performance; moisture safety; sandwich panel</t>
  </si>
  <si>
    <t>Kalamees T., Lupisek A., Morck O. C., Et al., What kind of heat loss requirements nZEB and deep renovation sets for building envelope?, Central Europe towards Sustainable Building 2016: Innovations for Sustainable Future, CESB 2016, pp. 137-144, (2016); Pihelo P., Kalamees T., The effect of thermal transmittance of building envelope and material selection of wind barrier on moisture safety of timber frame exterior wall, Journal of Building Engineering, 6, pp. 29-38, (2016); Viljanen K., Lu X., An experimental study on the drying-out ability of highly insulated wall structures with built-in moisture and rain leakage, Applied Sciences, 9, 6, (2019); Ojanen T., Moisture performance of mineral wool insulation products in highly insulated structures, Energy Procedia, 132, pp. 795-800, (2017); Sekki P., Karvinen T., Vinha J., Moisture behavior of external insulated precast concrete wall panels, Journal of Building Physics, 44, 5, pp. 409-434, (2021); Mohamed M., Huo Z., Hawkins S., Et al., Moisture effects on performance of polyurethane composite sandwich panels manufactured using vartm, International SAMPE Technical Conference, pp. 1068-1081, (2013); Kalamees T., Kurnitski J., Moisture convection performance of external walls and roofs, Journal of Building Physics, 33, 3, pp. 225-247, (2010); Kurnitski J., Crawl space air change, heat and moisture behaviour, Energy and Buildings, 32, 1, pp. 19-39, (2000); Kalbe K., Piikov H., Kalamees T., Moisture dry-out capability of steel-faced mineral wool insulated sandwich panels, Sustainability, 12, 21, (2020); Nicolai J. J. Z. A., Grunewald J., Recent improvements in HAM simulation tools, Recent improvements in HAM simulation tools: Delphin 5 / CHAMPS-BES, (2007)</t>
  </si>
  <si>
    <t>2-s2.0-85159939316</t>
  </si>
  <si>
    <t>Antretter F.; Pallin S.</t>
  </si>
  <si>
    <t>HAMT extension for EnergyPlus encompasses moisture sources due to air leakage</t>
  </si>
  <si>
    <t>ASHRAE Transactions</t>
  </si>
  <si>
    <t>125</t>
  </si>
  <si>
    <t>https://www.scopus.com/inward/record.uri?eid=2-s2.0-85071941206&amp;partnerID=40&amp;md5=a54f9084a987b91f17581ed1b3d90eb9</t>
  </si>
  <si>
    <t>As building envelopes become more energy efficient, new buildings are more prone to hygrothermal failure. The combined Heat and Moisture Transf (HAMT) model in EnergyPlus is able to provide moisture profiles through multiple material layers of an envelope assembly using a coupled, one-dimensional, finite element model simulating the movement and storage of heat and moisture. However, HAMT is currently unable to properly asses the effects of moisture sources inside an assembly to determine impacts on durability, indoor air quality, and energy performance. This paper reviews existing tools for modeling moisture sources due to air leakage and the HAMT model equations in EnergyPlus. A sub-model is then developed that enables air leakage to be applied to a moisture sink/source at an arbitrary location by extending the existing mass transfer equation with a source term that includes water vapor deposit from air flow through an assembly. We demonstrate use of this model, discuss limitations, and source code publicly available for external use. © 2019 ASHRAE</t>
  </si>
  <si>
    <t>Air quality; Energy efficiency; Indoor air pollution; Mass transfer; Building envelopes; Energy efficient; Energy performance; Indoor air quality; Mass transfer equations; Moisture profiles; Moisture sources; Multiple materials; Moisture</t>
  </si>
  <si>
    <t>Windows and Building Envelope Research and Development: Roadmap for Emerging Technologies, (2014); 2015 International Energy Conservation Code, (2016); Energy Standard for Buildings except Low-Rise Residential Buildings, (2016); Janssens A., Hens H., Interstitial condensation due to air leakage: A sensitivity analysis, Journal of Thermal Envelope and Building Science, 27, 1, pp. 15-29, (2003); WUFI - Moisture Design Tools; Kunzel H.M., Simultaneous Heat and Moisture Transport in Building Components: One- And Two-Dimensional Calculation Using Simple Parameters, (1995); Antretter F., Pazold M., Kunzel H.M., Sedlbauer K.P., Anwendung hygrothermischer Gebäudesimulation, Bauphysik Kalender 2015: Simulations und Berechnungsverfahren, pp. 189-225, (2015); Pallin S.B., Hun D.E., Boudreaux P.R., Simulating Air Leakage in Walls and Roofs Using Indoor and Outdoor Boundary Conditions; EnergyPlus Engineering Reference: The Reference to EnergyPlus Calculations, (2017); Lstiburek J., Ueno K., Musunuru S., Strategy Guideline: Modeling Enclosure Design in Above-Grade Walls, (2016); Karagiozis A.N., Kunzel H.M., Hardman B., Carli C.G., Weston T., Dean S.W., The effect of air cavity convection on the wetting and drying behavior of wood-frame walls using a multi-physics approach, Journal of ASTM International, 6, 10, (2009); Kunzel H.M., Zirkelbach D., Schafaczek B., Modelling the effect of air leakage in hygrothermal envelope simulation, Proceedings of the BEST, 3, pp. 2-4, (2012); Wang L., Ge H., Effect of air leakage on the hygrothermal performance of highly insulated wood frame walls: Comparison of air leakage modelling methods, Building and Environment, 123, pp. 363-377, (2017); Zirkelbach D., Kunzel H.M., Schafaczek B., Borsch-Laaks R., Dampfkonvektion Wird Berechenbar—InstationäresModell Zur Berücksichtigungvonkonvektivem Feuchteeintragbeider Simulation Von Leichtbaukonstruktionen, (2009)</t>
  </si>
  <si>
    <t>2-s2.0-85071941206</t>
  </si>
  <si>
    <t>2069</t>
  </si>
  <si>
    <t>Thermal Performance of the Exterior Envelopes of Whole Buildings</t>
  </si>
  <si>
    <t>Ye K.; Ge H.; Athienitis A.; Yang X.</t>
  </si>
  <si>
    <t>Hygrothermal Modeling of Building Integrated Photovoltaics in Low-Rise Wood-Frame Construction</t>
  </si>
  <si>
    <t>Environmental Science and Engineering</t>
  </si>
  <si>
    <t>10.1007/978-981-19-9822-5_143</t>
  </si>
  <si>
    <t>https://www.scopus.com/inward/record.uri?eid=2-s2.0-85172726399&amp;doi=10.1007%2f978-981-19-9822-5_143&amp;partnerID=40&amp;md5=d7c91621e857677e70b2082c0236eb75</t>
  </si>
  <si>
    <t>Building integrated photovoltaic (BIPV) systems are being developed for exterior wall construction, but the effect of BIPV as a replacement for conventional cladding on durability must be considered. This study compares the hygrothermal performance of a low-rise residential wood-frame wall with different options for exterior cladding. These options include fiber cement and BIPV in both the open circuit (OC) operating state and maximum power point tracking (MPP) state. Hygrothermal simulations of each case were performed using WUFI Pro 6. Parameters examined include relative humidity (RH), moisture content (MC), and mould growth index (M ) of critical layers in the wall assembly, the oriented strand board (OSB) and the wall assembly air cavity. The results show that, under low ventilation rates within the air cavity with rain leakage assumed, the BIPV cladding options have worse hygrothermal performance compared to fiber cement cladding due to solar-driven moisture accumulation and impermeable cladding surface. The BIPV clad wall assembly under MPP state performs slightly better than when under OC state. These results suggest that a minimum of 20 ACH cavity ventilation rate is required in maintaining hygrothermal performance of wood-frame construction when adding BIPV cladding, which is typically not a concern since the ventilation rate of naturally ventilated BIPV systems is in the range of 200ACH and greater than 600 ACH in mechanically ventilated BIPV/T systems. © 2023, The Author(s), under exclusive license to Springer Nature Singapore Pte Ltd.</t>
  </si>
  <si>
    <t>BIPV; Building envelope; Hygrothermal modeling; Mould growth; Wood-frame</t>
  </si>
  <si>
    <t>Cements; Molds; Photovoltaic effects; Ventilation; Walls (structural partitions); Wood; Building envelopes; Building integrated photovoltaic; Hygrothermal; Hygrothermal modeling; Hygrothermal performance; Mould growth; Ventilation rate; Wall assembly; Wood frame; Wood frame construction; Moisture</t>
  </si>
  <si>
    <t>Council C.W., Moisture and Wood-Frame Buildings, (2000); Candanedo L.M., Athienitis A.K., Candanedo J.A., O'Brien W., Chen Y., Transient and Steady State Models for Open-Loop Air-Based BIPV/T Systems, 116, (2010); Falk J., Sandin K., Ventilated rainscreen cladding: Measurements of cavity air velocities, estimation of air change rates and evaluation of driving forces, Build Environ, 59, pp. 164-176, (2013); Hukka A., Viitanen H.A., A mathematical model of mould growth on wooden material, Wood Sci Technol, 33, 6, pp. 475-485, (1999); Maref W., Manning M., Lacasse M.A., Kumaran M.K., Cornick S.M., Swinton M.C., Laboratory demonstration of solar driven inward vapour diffusion in a wall assembly, P 13, (2007)</t>
  </si>
  <si>
    <t>2-s2.0-85172726399</t>
  </si>
  <si>
    <t>Asphaug S.K.; Andenæs E.; Geving S.; Time B.; Kvande T.</t>
  </si>
  <si>
    <t>Moisture-resilient performance of concrete basement walls – Numerical simulations of the effect of outward drying</t>
  </si>
  <si>
    <t>222</t>
  </si>
  <si>
    <t>109393</t>
  </si>
  <si>
    <t>10.1016/j.buildenv.2022.109393</t>
  </si>
  <si>
    <t>https://www.scopus.com/inward/record.uri?eid=2-s2.0-85134585188&amp;doi=10.1016%2fj.buildenv.2022.109393&amp;partnerID=40&amp;md5=ee46dba9c0c602ff263293c61fb6eec7</t>
  </si>
  <si>
    <t>The moisture safety designs of basements used for habitation have become a topic of concern. Basements are prone to high moisture strain and have a limited outward drying ability compared with above-grade structures. The risk of interior moisture-related damage can be reduced if the basement walls are allowed to dry outward below grade. The use of vapour-permeable thermal insulation and the effect of air gaps behind dimpled membranes on the outward drying of concrete basement walls were investigated in this study. One- and two-dimensional hygrothermal simulations were conducted using WUFI®Pro and COMSOL Multiphysics®. First, the outward drying of concrete wall segments, previously investigated in a laboratory experiment, was simulated. Two EPS types and two dimpled membrane positions were compared, with an emphasis on the airflow through the air gap behind the membrane. Second, the long-term moisture performance of concrete basement walls was simulated. It was observed that when the dimpled membrane was placed between the concrete and exterior EPS, the bottom of the concrete segments dried faster than the top. When the dimpled membrane was placed on the exterior side, the concrete dried more uniformly along the height. Thus, the results indicated that the latter ensured outward drying of the concrete basement walls. However, the overall effect on the interior RH depended on the characteristics of concrete and the amount of interior and exterior insulation. Optimum drying was achieved when the thickness of interior insulation was reduced. The variability of the concrete properties used in basement walls requires further investigation. © 2022 Elsevier Ltd</t>
  </si>
  <si>
    <t>Air flow; Concrete; Dimpled membrane; Hygrothermal simulation; Liquid transfer coefficient; Outward drying; Vapour-permeable thermal insulation</t>
  </si>
  <si>
    <t>Buildings; Concretes; Drying; Moisture; Thermal insulation; %moisture; Air flow; Basement walls; Concrete; Dimpled membrane; Hygrothermal simulation; Liquid transfer coefficients; Outward drying; Vapor permeable; Vapor-permeable thermal insulation; airflow; computer simulation; concrete structure; membrane; wall; Membranes</t>
  </si>
  <si>
    <t>Viitanen H., Vinha J., Salminen K., Ojanen T., Peuhkuri R., Paajanen L., Lahdesmaki K., Moisture and bio-deterioration risk of building materials and structures, J. Build. Phys., 33, pp. 201-224, (2010); Cai S., Zhang B., Cremaschi L., Review of moisture behavior and thermal performance of polystyrene insulation in building applications, Build. Environ., 123, pp. 50-65, (2017); Cai S., Zhang B., Cremaschi L., Moisture behavior of polystyrene insulation in below-grade application, Energy Build., 159, pp. 24-38, (2018); Jerman M., Cerny R., Effect of moisture content on heat and moisture transport and storage properties of thermal insulation materials, Energy Build., 53, pp. 39-46, (2012); Asphaug S.K., Kvande T., Time B., Peuhkuri R.H., Kalamees T., Johansson P., Berardi U., Lohne J., Moisture control strategies of habitable basements in cold climates, Build. Environ., 169, (2020); Hanssen-Bauer I., Forland E.J., Haddeland I., Hisdal H., Mayer S., Nesje A., Nilsen J.E.O., Sandven S., SandO A.B., Sortberg A., Adlansvik B., Climate in Norway 2100 - a Knowledge Base for Climate Adaptation, (2017); Masson-Delmotte V., Pirani A., Chen Y., Matthews J.B.R., Yelekci O., Et al., Climate Change 2021 the Physical Science Basis, (2021); Bonneau J., Fletcher T.D., Costelloe J.F., Burns M.J., Stormwater infiltration and the ‘urban karst’ – a review, J. Hydrol., 552, pp. 141-150, (2017); Straube J., Field monitoring and hygrothermal modeling of interior basement insulation systems, (2009); Asphaug S., Hjermann I., Time B., Kvande T., Monitoring outward drying of externally insulated basement walls: a laboratory experiment, Build. Environ., 217, (2022); Geving S., Blom P., Kvalvik M., Martinsen E., Utbedring Av Fuktskadede Kjelleryttervegger. Delrapport 2 - Felt-, Laboratorie- Og Beregningsmessige Undersøkelser Av Tre Metoder, (2011); Pallin S., Risk Assessment of Hygrothermal Performance - Building Envelop Retrofit, Doctoral Thesis, (2013); Arfvidsson J., Harderup L.-E., Samuelson I., Fukthandbok: Praktik och teori (Handbook in moisture: practice and theory), Fukthandbok, AB Svensk Byggtjanst, (2017); Hansen M.H., Brandt E., Vesterlokke M., Okkels N., Kældervægge og -gulve – fugtsikring og varmeisolering (basement walls and floors - moisture control and thermal insulation), Byg-Erfa., 19, (2015); Blom P., Uvslokk S., Yttervegger mot terreng. Varmeisolering og tetting (Exterior walls below grade, Thermal insulation and sealing) The SINTEF Building Research Design Guides nr, 523, 111, (2015); Canada N.R., Keeping the Heat in - section 6: basement insulation: floors, walls and crawl spaces, (2021); Swinton M.C., Kesik T., Performance Guidelines for Basement Envelope Systems and Materials, (2005); Eesti E., Moisture in Buildings (Niiskus Hoonetes) ET-2 0405-0497, (2003); Lstiburek J., Understanding basements, ASHRAE J., 48, pp. 24-29, (2006); Lahdensivu J., Weijo I., Turunen T., Ahola S., Sistonen E., Vornanen-Winqvist C., Annila P., Reparation av fukt- och mikrobskadade byggnader, (2020); Geving S., Kvalvik M., Martinsen E., Rehabilitation of basement walls with moisture problems by the use of vapour open exterior thermal insulation, Proceedings of the 9th Nordic Symposium on Building Physics, pp. 323-330, (2011); Kvande T., Fuktsikre Konstruksjoner Mor Grunnen. Klima2050 Note 100, (2020); Blom P., Isolering Og Fuktsikring Av Yttervegger Mot Terreng. Målinger I Forsøksvegg. (Thermal Insulation and Moisture Control of Exterior Walls below Grade. Measurements in Experimental Walls), (2012); Straube J., The role of small gaps behind wall claddings on drainage and drying, 11th Canadian Conference on Building Science &amp; Technology, (2007); Straube J., Smegal J., Modeled and measured drainage, storage and drying behind cladding systems, (2009); Finch G., Straube J., Ventilated Wall Claddings: Review, Field Performance, and Hygrothermal Modeling, (2007); Straube J.F., van Straaten R., Burnett E., Field studies of ventilation drying, Buildings IX Proceedings, (2004); Rahiminejad M., Khovalyg D., Review on ventilation rates in the ventilated air-spaces behind common wall assemblies with external cladding, Build. Environ., 190, (2021); Saber H.H., Maref W., Swinton M.C., Thermal response of basement wall systems with low-emissivity material and furred airspace, J. Build. Phys., 35, pp. 353-371, (2012); Goldberg L.F., Harmon A.C., Cold Climate Foundation Retrofit Experimental Hygrothermal Performance: Cloquet Residential Research Facility Laboratory Results, (2015); Fedorik F., Heiskanen R., Laukkarinen A., Vinha J., Impacts of multiple refurbishment strategies on hygrothermal behaviour of basement walls, J. Build. Eng., 26, (2019); Blom P., Holos S.B., Moisture content in insulated basement walls, Proceedings of the 8th Nordic Symposium on Building Physic, (2008); Swinton M.C., Maref W., Bomberg M.T., Kumaran M.K., Normandin N., In situ performance evaluation of spray polyurethane foam in the exterior insulation basement system (EIBS), Build. Environ., 41, pp. 1872-1880, (2006); Fraunhofer IBP, WUFI®Pro; Bost C., How to Model Heat and Moisture Transport in Porous Media with COMSO®, (2017); Asphaug S.K., Time B., Kvande T., Hygrothermal simulations of thermally insulated basement envelopes - importance of boundary conditions below grade, Build. Environ., 199, (2021); Asphaug S.K., Time B., Kvande T., Moisture accumulation in building Façades exposed to accelerated artificial climatic ageing—a complementary analysis to NT build 495, Buildings, 11, (2021); Kunzel H.M., Simultaneous Heat and Moisture Transport in Building Components: One- and Two-Dimensional Calculation Using Simple Parameters, (1995); Bost C., How to Model Heat and Moisture Transport in Air with COMSOL®, (2017); Geving S., Moisture Design of Building Constructions. Hygrothermal Analysis Using Simulation Models. Part I, (1997); Hygrothermal Performance of Building Components and Building Elements - Internal Surface Temperature to Avoid Critical Surface Humidity and Interstitial Condensation - Calculation Methods, (2012); Hygrothermal performance of building components and building elements - assessment of moisture transfer by numerical simulation, (2007); Janssen H., Carmeliet J., Hens H., The influence of soil moisture transfer on building heat loss via the ground, Build. Environ., 39, pp. 825-836, (2004); Janssen H., Carmeliet J., Hens H., The influence of soil moisture in the unsaturated zone on the heat loss from buildings via the ground, JTEBS, 25, (2002); Bygningers Termiske Egenskaper - Termisk Dimensjonering Av Fundamenter for a Unnga Telehiv, (2001); Saaly M., Bobko K., Maghoul P., Kavgic M., Hollander H., Energy performance of below-grade envelope of an institutional building in cold regions, J. Build. Eng., 27, (2020)</t>
  </si>
  <si>
    <t>2-s2.0-85134585188</t>
  </si>
  <si>
    <t>Defo M.; Wang L.; Lacasse M.A.; Moore T.V.</t>
  </si>
  <si>
    <t>Evaluation of Moisture Performance of Tall Wood Building Envelope under Climate Change in Different Canadian Climatic Regions</t>
  </si>
  <si>
    <t>Forests</t>
  </si>
  <si>
    <t>4</t>
  </si>
  <si>
    <t>718</t>
  </si>
  <si>
    <t>10.3390/f14040718</t>
  </si>
  <si>
    <t>https://www.scopus.com/inward/record.uri?eid=2-s2.0-85156201519&amp;doi=10.3390%2ff14040718&amp;partnerID=40&amp;md5=703e7852ba10460237f07df748431a14</t>
  </si>
  <si>
    <t>A study was realized to assess the effects of historical and projected future climates on the hygrothermal performance of cross-laminated timber wall assemblies in 12 Canadian cities belonging to several climate regions and zones and for two cladding and ventilation types. Water ingress in the wall assembly was supposed to be 1% wind-driven rain (WDR), and the airflow rate in the drainage cavity was calculated using local climate data. The hygrothermal simulation results showed that under the assumption of no deficiencies allowing wind-driven rain to enter into the wall (perfect wall), there is no risk of mold growth in the future for both claddings, either vented or ventilated. Under the assumption of high moisture loads (1% WDR), the mold growth risk could increase significantly in all climate regions and cities considered. However, in those cities located in the Cordillera and Prairie regions, the increase was not found to be problematic as the maximum mold growth remained under the acceptable level, whereas for cities located in coastal and southeastern regions, the increase in mold growth risk could be considerable. The impacts of cladding and ventilation types on the relative performance of the walls varied with city location. © 2023 by the authors.</t>
  </si>
  <si>
    <t>climate change; climatic regions; cross-laminated timber; mold growth; ventilation rate; wall assembly</t>
  </si>
  <si>
    <t>Cities; Growth; Lamination; Moisture; Molds; Performance; Rain; Ventilation; Canada; Laminating; Moisture; Molds; Rain; Risk perception; Timber; Ventilation; Walls (structural partitions); Climate regions; Climatic regions; Cross laminated; Cross-laminated timber; Laminated timber; Moisture performance; Mould growth; Ventilation rate; Wall assembly; Wind-driven rain; climate change; moisture; multistorey building; performance assessment; timber; ventilation; wall; Climate change</t>
  </si>
  <si>
    <t>IPCC Climate Change 2021: The Physical Science Basis, (2021); Bizikova L., Neale T., Burton I., Canadian Communities’ Guidebook for Adaptation to Climate Change, (2009); Nijland T.G., Adan O.C., Van Hees R.P., van Etten B.D., Evaluation of the effects of expected climate change on the durability of building materials with suggestions for adaptation, Heron, 54, pp. 37-48, (2009); Nick V., Mundt-Petersen S., Kalagasidis A., De Wilde P., Future moisture loads for buildings facades in Sweden: Climate change and wind-driven rain, Build. Environ, 93, pp. 362-375, (2015); Sehizadeh A., Ge H., Impacts of future climates on the durability of typical residential wall assemblies retroffited to the PassiveHaus for Eastern Canada region, Build. Environ, 97, pp. 111-125, (2016); Bylund Melin C., Hagentoft C.E., Holl K., Nik V.M., Kilian R., Simulations of moisture gradients in wood subjected to changes in relative humidity and temperature due to climate change, Geosciences, 8, (2018); Hayles C., Huddleston M., Chinoowsky P., Helman J., Quantifying the effects of projected climate change on the durability and service life of housing in Wales, UK, Buildings, 12, (2022); Vandemeulebroucke I., Kotova L., Caluwaerts S., Van Den Bossche N., Degradation of brick masonry walls in Europe and the Mediterranean: Advantages of response-based analysis to study climate change, Build. Environ, 230, (2023); Chang S., Wi S., Kang Y., Kim S., Moisture risk assessment of cross-laminated timber walls: Perspectives on climate conditions and water vapor resistance performance of building materials, Build. Environ, 168, (2020); Chang S.J., Yoo J., Wi S., Kim S., Numerical analysis on the hygrothermal behavior of building envelope according to CLT wall assembly considering the hygrothermal-environmental zone in Korea, Environ. Res, 191, (2020); Chang S., Kang Y., Yun B., Yang S., Kim S., Assessment of effect of climate change on hygrothermal performance of cross-laminated timber building envelope with modular construction, Case Stud. Therm. Eng, 28, (2021); Defo M., Lacasse M., Effects of Climate Change on the Moisture Performance of Tallwood Building Envelope, Buildings, 11, (2021); NEBC National Energy Code of Canada for Buildings, (2020); NBCC National Building Code of Canada, (2020); Cornick S., Dalgliesh W.A., A moisture index approach to characterizing climates for moisture management of building envelopes, Proceedings of the 9th Canadian Conference on Building Science and Technology; Glass S., Wang J., Easley S., Finch G., Building enclosure design for cross-laminated timber construction, CLT Handbook: Cross-Laminated Timber, pp. 393-441, (2013); Nordic Structures, Nordic Engineered Wood, Non-Residential Design, (2015); Finch G., Wang J., Building enclosure design design of cross-laminated timber construction, Canadian CLT Handbook, pp. 517-581, (2019); Kumaran M.K., Lackey J.C., Normandin N., Tariku F., van Reenen D., A thermal and moisture transport property database for common building and insulation materials, Final Report from ASHRAE Research Project 1018-RP, (2002); AlSayegh G., Hygrothermal Properties of Cross-Laminated Timber and Moisture Response of Wood at High Relative Humidity, Ph.D. Thesis, (2012); Team C.W., Pachauri R., Meyer L., IPCC Climate Change 2014: Synthesis Report, (2014); Gaur A., Lacasse M., Armstrong M., Climate data to undertake hygrothermal and whole building simulations under projected climate change influences for 11 Canadian cities, Data, 4, (2019); Criteria for Moisture-Control Design Analysis in Buildings, (2016); Nath D., U.K. Field Measurements of Wind-Driven Rain on Mid- and High-Rise Buildings in Two Canadian Regions, Ph.D. Thesis, (2015); Sontag L., Nicolai A., Vogelsang S., Validierung der Solverimplementierung des Hygrothermischen Simulationsprogramms Delphin, (2013); Langmans J., Nicolai A., Klein R., Roels S., A quasi-steady state implementation of air convection in a transient heat and moisture building component model, Build. Environ, 58, pp. 208-218, (2012); Vogelsang S., Kehl D., Ruisinger U., Meissner F., Three-dimensional HAM Transport in Timber Beam Ends–Measurements and Simulation, Proceedings of the 5th German-Austrian Conference of the International Building Performance Simulation Association (IBPSA); Hejazi B., Sakiyama N.R., Frick J., Garrecht H., Hygrothermal Simulations Comparative Study: Assessment of Different Materials Using WUFI and DELPHIN Software, Proceedings of the 16th IBPSA International Conference; Ruisinger U., Kautsch P., Comparison of hygrothermal 2D- and 3D-simulation results with measurements from a test house, E3S Web of Conferences, 172, (2020); Janssens A., Reliability Control of Interstitial Condensation in Lightweight Roof Systems, Ph.D. Thesis, (1998); Nicolai A., Modeling and Numerical Simulation of Salt Transport and Phase Transitions in Unsaturated Porous Building Materials, Ph.D. Thesis, (2008); Langmans L., Feasibility of Exterior Air Barriers in Timber Frame Construction, Ph.D. Thesis, (2013); Nicolai A., Grunewald J., DELPHIN 5 User Manual and Program Reference, (2014); Candenedo L., Derome D., Fazio P., Ge H., Analysis of Montreal 30-year weather data to select loading conditions for large-scale tests on wall panels, Proceedings of the 3th International Building Physics Conference; Salonvaara M., Sedlbauer K., Holm A., Pazera M., Effect of selected weather year for hygrothermal analyses, Proceedings of the Thermal Performance of the Exterior Envelopes of Whole Buildings XI Conference; Zhou X., Derome D., Carmeliet J., Robust moisture reference year methodology for hygrothermal simulations, Build. Environ, 110, pp. 23-35, (2016); Barreira E., Simoes M.L., Delgado J.M.P.Q., Sousa I., Procedures in the construction of a test reference year for Porto-Portugal and implications for hygrothermal simulation, Sustain. Cities Soc, 32, pp. 397-410, (2017); Lacasse M.A., Ge H., Hegel M., Jutras R., Laouadi A., Sturgeon G., Wells J., Guideline on Design for Durability of Building Envelopes, CRBCPI-Y2-R19, (2018); Straube J., Burnett E., Vents, Ventilation Drying, and Pressure Moderation, (1995); Straube J., Finch G., Ventilated Wall Claddings: Review, Field Performance, and Hygrothermal Modelling Research Report-0907, (2009); Defo M., Wang L., Lacasse M., Evaluation of the Durability and Resilience of Wall Assemblies to Climate Change Using Hygrothermal Simulations RR NRCC-CONST-56534E, (2021); Henninger J.H., Solar Absorbance and Thermal Emittance of Some Common Space Craft Thermal-Control Coatings RP-1121, (1984); Hygrothermal Performance of Buildings—Calculation and Presentation of Climatic Data, (2009); Incropera F.P., DeWitt D.P., Fundamentals of Heat and Mass Transfer, (1996); Wang J.Y., Stirling R., Paul I., Morris A., Taylor J., Lloyd G., Kirker S., Lebow M., Mankowski H., Barnes M., Et al., Durability of mass timber structures: A review of the biological risks, Wood Fiber. Sci, 50, pp. 110-127, (2018); Viitanen H.A., Ritschkoff A., Mould Growth in Pine and Spruce Sapwood in Relation to Air Humidity and Temperature, (1991); Viitanen H.A., Modelling the time factor in the development of mould fungi—The effect of critical humidity and temperature conditions on pine and spruce sapwood, Holzforshung, 51, pp. 6-14, (1997); Hukka A., Viitanen H.A., A mathematical model of mould growth on wooden material, Wood Sci. Technol, 33, pp. 475-485, (1999); Ojanen T., Viitanen H., Peuhkuri R., Lahdesmaki K., Vinha J., Salminen K., Mold growth modeling of building structures using sensitivity classes of materials, Proceedings of the Thermal Performance of the Exterior Envelopes of Whole Building XI Conference; Yeo I., Johnson R., A new family of power transformations to improve normality or symmetry, Biometrika, 87, pp. 954-959, (2000); Pedregosa F., Varoquaux G., Gramfort A., Michel V., Thirion B., Grisel O., Blondel M., Prettenhofer P., Weiss R., Dubourg V., Et al., Scikit-learn: Machine Learning in Python, J. Mach. Learn. Res, 12, pp. 2825-2830, (2011); Van Rossum G., Drake F.L., Python 3 Reference Manual, (2009); Welch B.L., The generalization of "Student’s" problem when several different population variances are involved, Biometrika, 34, pp. 28-35, (1947); Virtanen P., Gommers R., Oliphant T.E., Haberland M., Reddy T., Cournapeau D., Burovski E., Peterson P., Weckesser W., Bright J., Et al., SciPy 1.0: Fundamental Algorithms for Scientific Computing in Python, Nat. Methods, 17, pp. 261-272, (2000)</t>
  </si>
  <si>
    <t>2-s2.0-85156201519</t>
  </si>
  <si>
    <t>Lee I.; Roppel P.; Lawton M.; Ferreira P.</t>
  </si>
  <si>
    <t>Design limits for framed wall assemblies dependent on material choices for sheathing membranes and exterior insulation</t>
  </si>
  <si>
    <t>International Journal of Building Pathology and Adaptation</t>
  </si>
  <si>
    <t>37</t>
  </si>
  <si>
    <t>10.1108/IJBPA-09-2018-0075</t>
  </si>
  <si>
    <t>https://www.scopus.com/inward/record.uri?eid=2-s2.0-85068112129&amp;doi=10.1108%2fIJBPA-09-2018-0075&amp;partnerID=40&amp;md5=34b5bd4842ea10a49e94cc4454f26845</t>
  </si>
  <si>
    <t>Purpose: The purpose of this paper is to propose a methodology for evaluating the hygrothermal performance of framed wall assemblies based on design limits. This methodology allows designers to evaluate wall assemblies based on their absolute performance rather than relative performance which is typically done for most hygrothermal analysis. Design/methodology/approach: The approach in developing this methodology was to evaluate wall assemblies against three typical design loads (e.g. air leakage, construction moisture, rain penetration) and determine limits in minimum insulation ratio, maximum indoor humidity and maximum rain penetration rates. This analysis was performed at both the field area of the wall and at framing junctions such as window sills. Findings: The findings in this paper shows example design limits for various wall assemblies in heating-dominated climates in North America. Design limits for wall assemblies with moisture membranes of different vapour permeance are provided for both the field area of the wall and at window sills. Discussions about the importance of 2D hygrothermal simulation and performance of vapour permeable sub-sill membranes are also provided. Originality/value: This framework of hygrothermal analysis will enable designers to make better decisions when designing framed wall assemblies suitable to the local climate and interior specifications for their projects. It will also enable the development of a design tool that will allow designers to visually see the implications of certain design decisions and filter out designs that do not meet their design conditions. © 2019, Emerald Publishing Limited.</t>
  </si>
  <si>
    <t>Design limits; Hygrothermal</t>
  </si>
  <si>
    <t>Moisture; Prefabricated construction; Rain; Absolute performance; Design limits; Design/methodology/approach; Hygrothermal; Hygrothermal analysis; Hygrothermal performance; Hygrothermal simulation; Relative performance; Design</t>
  </si>
  <si>
    <t>Bomberg M.T., Rousseau M.Z., Desmarais G., Nicholls M., Lacasse M., Report from task 2 of MEWS project – description of 17 large scale wall specimens built for water entry investigation in IRC dynamic wall testing facility, (2002); Brown W., Roppel P., Lawton M.D., Developing a design protocol for low air and vapour permeance insulating sheathing in cold climates, Thermal Performance of Exterior Envelopes of Whole Buildings X, Proceedings of ASHRAE/DOE/BTECC Conference, (2007); Moisture and Wood-Frame Buildings, (2000); Wood-Frame Envelopes in the Coast Climate of British Columbia, (1999); Cornick S., Dalgliesh A., Said N., Djebbar R., Tariku F., Kumara M.K., Report from Task 4 of MEWS project – Task 4 – environmental conditions final report, (2002); Hazleden D., Envelope drying rates experiment final report, (2001); Kalamees T., Korpi M., Vinha J., Kurnitski J., The effects of ventilation systems and building fabric on the stability of indoor temperature and humidity in Finnish detached houses, Building and Environment, 44, 8, (2009); Kumaran K., Sanders C., IEA Annex 41: whole building heat, air, moisture response, subtask 3: boundary conditions and whole building HAM analysis, (2008); Kumaran K., Lackey J., Normandin N., van Reenen D., Tariku F., Summary report from task 3 of MEWS project at the institute for research in construction – hygrothermal properties of several building materials, (2002); Survey of building envelope failures in the coastal climate of British Columbia, (1996); Ojanen T., Improving the drying efficiency of timber frame walls in cold climates by using exterior insulation, (1998); Roppel P., Lawton M., Brown W.C., Setting realistic design indoor conditions for residential buildings by vapour pressure difference, Journal of ASTM International, 6, 9, (2009); Smegal J., Lstiburek J., Straube J., Grin A., Vancouver Field Exposure Facility: Phase III Exterior Insulation Analysis, (2012); St-Hilaire A., Hygrothermal Performance of Different Wood-Frame Wall Assemblies Wetted by Simulated Rain Infiltration, (2006); Trainor T., The Hygrothermal Performance of Exterior Insulated Wall Systems, (2014); Viitanen H., Ojanen T., Improved model to predict mold growth in building materials, Proceedings of the X International Conference on the Performance of the Exterior Envelopes of Whole Buildings, (2007); Viittanen H., Et al., Moisture and biodeterioration risk of building materials and structures, Journal of Building Physics, (2010); Wang J., Clark J., Symons P., Morris P., Time to initiation of decay in plywood, OSB, and solid wood under critical moisture conditions, Proceedings of International Conference of Building Envelope Systems and Technology, (2010); Wilkinson M., Tatara J., Finch G., Window sill pan flashings: are liquid membranes suitable?, Proceedings of the 15th Canadian Conference on Building Science and Technology, (2017); Wilson A.G., Canadian building digest – 23 air leakage in buildings, (1961); Standard 160 Criteria for Moisture-Control Design Analysis in Buildings, (2009); Burnett E., Straube J., Karagiozis A., Synthesis report and guidelines – Report No12, (2004); Mayer E., Kunzel H., Untersuchungen uber die notwendige Hinterluftung an Aubenwandbekeidung aus grobformatigen Bauteilen, (1983); National Building Code of Canada, (2010); National Energy Code of Canada for Buildings, (2011); Roppel P., Lawton M., Brown W.C., Modeling of uncontrolled interior humidity for HAM simulations of residential buildings, Thermal Performance of Exterior Envelopes of Whole Buildings X, Proceedings of ASHRAE/DOE/BTECC Conference, (2007); Straube J., Burnett E., Building Science for Building Enclosures, (2005); Straube J., Finch G., Ventilated Wall Claddings: Review, Field Performance, and Hygrothermal Modelling, (2009); Wang J., Morris P., Decay initiation in plywood, OSB and solid wood under marginal moisture conditions, (2011)</t>
  </si>
  <si>
    <t>2-s2.0-85068112129</t>
  </si>
  <si>
    <t>Havinga L.; Schellen H.</t>
  </si>
  <si>
    <t>The impact of convective vapour transport on the hygrothermal risk of the internal insulation of post-war lightweight prefab housing</t>
  </si>
  <si>
    <t>Energy and Buildings</t>
  </si>
  <si>
    <t>204</t>
  </si>
  <si>
    <t>109418</t>
  </si>
  <si>
    <t>10.1016/j.enbuild.2019.109418</t>
  </si>
  <si>
    <t>https://www.scopus.com/inward/record.uri?eid=2-s2.0-85073065903&amp;doi=10.1016%2fj.enbuild.2019.109418&amp;partnerID=40&amp;md5=27c54ce579eb392c706bf5e8300692ea</t>
  </si>
  <si>
    <t>Interior insulation is being applied in dwellings constructed with the ‘Airey’ system, a post-war prefab construction system which has recently been gaining heritage significance recognition. It's well-known that applying internal insulation in historic buildings may result in interstitial condensation, surface condensation, mould growth and decay. A review of literature on hygrothermal performance assessment of internal insulation of historic buildings is presented. The results show a strong focus on buildings constructed with solid masonry walls; an evaluation of construction types similar to the Airey system remains absent. The methods that have commonly been applied – being a 1D or 2D simulation of the envelope, focussing on vapour transport through diffusion – were developed to address the hygrothermal behaviour of solid masonry walls. These may not be suitable to identify hygrothermal risks in the Airey system, which is lightweight and has many air cavities. A method for hygrothermal performance assessment that is tailored to these specific characteristics of the Airey system is proposed, combining a whole building HAM-model with a coupled 3D heat transfer model of the construction details. The calibration of the HAM-model to on-site measurements demonstrates the importance of modelling convective vapour transport, specifically as it relates to air leakage through the vapour barrier. The results highlight the importance of accounting for convection in hygrothermal assessments and indicate that simulating a vapour barrier as being installed with perfect airtightness may lead to unrealistic outcomes. Moreover, the results demonstrate the need to further develop the understanding of hygrothermal risks associated with applying internal insulation to non-solid walls, and to adapt the methodology of hygrothermal performance assessments in order to do so. © 2019</t>
  </si>
  <si>
    <t>Air leakage; Convection; Hygrothermal performance; Internal insulation; On-site measurements; Post-war; Prefab; Simulation</t>
  </si>
  <si>
    <t>Condensation; Heat convection; Housing; Insulation; Masonry construction; Masonry materials; Retaining walls; Walls (structural partitions); Air leakage; Hygrothermal performance; Internal insulation; On-site measurement; Post-war; Prefab; Simulation; Heat transfer performance</t>
  </si>
  <si>
    <t>Messchaert Z., (2004); Elk R.S.F.J., Priemus H., Niet-traditionele woningbouwmethoden in Nederland, samsom uitgeverij n.v, Alphen AAN den Rijn, (1970); Oerlemans L., Ham M., Zero energy renovation of nemavo-airey dwellings: a ventilation concept based on occupant behaviour, Proceedings of the 25th PLEA International Conference on Passive and Low Energy Architecture, Conference Proceedings PLEA Towards Zero Energy Building, (2008); Goodman D.C., Chant C., European Cities &amp; Technology: Industrial to Post-Industrial City, European Cities &amp; Technology: Industrial to Post-Industrial City, (1999); Harrison H.W., Mullin S., Reeves B., Stevens A., Non-traditional Houses: Identifying Non-Traditional Houses in the UK 1918-75, (2012); Liebregts M., Airey-woningen: Gedenkteken met Soberheid, Platform, 31, (2013); Ministry of Health, (1946); Janssens A., Hens H., Interstitial condensation due to air leakage: a sensitivity analysis, J. Thermal Envel. Build. Sci., 27, pp. 15-29, (2003); Kunzel H.M., Zirkelbach D., Advances in hygrothermal building component simulation: modelling moisture sources likely to occur due to rainwater leakage, J. Build. Perform. Simul., 6, pp. 346-353, (2013); Schellen H.L., Stappers M.H.L., (2011); Troi A., Energy Efficiency Solutions For Historic buildings: a Handbook, Energy Efficiency Solutions For Historic buildings: a Handbook, (2015); (2017); (2017); Therma T.R., (2017); Havinga L.C., Schellen H.L., On-site Measurements and Simulation Model Calibration of the Internal Insulation of Post-War Prefab Housing, (2019); Havinga L., Schellen H., Applying internal insulation in post-war prefab housing: understanding and mitigating the hygrothermal risks, Build. Environ., 144, pp. 631-647, (2018); Kloseiko P., Arumagi E., Kalamees T., Hygrothermal performance of internally insulated brick wall in cold climate: a case study in a historical school building, J. Build. Phys., 38, pp. 444-464, (2015); Zagorskas J., Zavadskas E.K., Turskis Z., Burinskiene M., Blumberga A., Blumberga D., Thermal insulation alternatives of historic brick buildings in Baltic sea region, Energy Build, 78, pp. 35-42, (2014); Heseltine E., Rosen J., WHO Guidelines For Indoor Air quality: Dampness and Mould, (2009); Vereecken E., Hygrothermal Analysis of Interior Insulation For Renovation Projects, Dissertation, (2013); Kloseiko P., Varda K., Kalamees T., pp. 525-530, (2017); Orlik-Kozdon B., Steidl T., Impact of internal insulation on the hygrothermal performance of brick wall, J. Build. Phys., 41, pp. 120-134, (2017); Ueno K., Straube J., Van Straaten R., Field monitoring and simulation of a historic mass masonry building retrofitted with interior insulation, Proceedings of the Thermal Performance of the Exterior Envelopes of Whole Buildings XII International Conference, Clearwater Beach, Florida, USA, (2013); Yuan S., The hygrothermal performance of ventilated stucco walls using spray polyurethane foam insulations and a smart vapour retarder in the pacific northwest, Proceedings of the International Conference Thermal Performance of the Exterior Envelopes of Whole Buildings XII, Clearwater Beach, Florida, USA, (2013); Abdul Hamid A., Wallenten P., Hygrothermal assessment of internally added thermal insulation on external brick walls in swedish multifamily buildings, Build. Environ., 123, pp. 351-362, (2017); Robert W., Piotr K., pp. 927-932, (2017); Cho J., Park S., Lim T., Kim B.S., Experimental investigation on hygrothermal behaviour and the surface condensation risk of a data centre, Indoor Built Environ., 26, pp. 1362-1381, (2017); Haupl P., Fechner H., Grunewald J., Petzold H., The quantification of the moisture distribution in renovated historical wall structures and exposed monuments, WIT Trans. Built Environ., 55, pp. 507-516, (2001); Wegerer P., Bednar T., pp. 652-657, (2017); Antretter F., Pazold M., Radon J., Kunzel H., Kopplung von dynamischer wärmebrückenberechnung mit hygrothermischer gebäudesimulation, Bauphysik, 35, pp. 181-192, (2013); Hansen T.K., Bjarlov S.P., Peuhkuri R.H., Harrestrup M., Long term in situ measurements of hygrothermal conditions at critical points in four cases of internally insulated historic solid masonry walls, Energy Build, 172, pp. 235-248, (2018); Peel M.C., Finlayson B.L., McMahon T.A., Updated world map of the Köppen-Geiger climate classification, Hydrol. Earth Syst. Sci., 11, pp. 1633-1644, (2007); De Mets T., Tilmans A., Loncour X., pp. 753-758, (2017); Vereecken E., Roels S., pp. 664-669, (2017); Knarud J.I., Geving S., pp. 771-776, (2017); Marincioni V., Altamirano-Medina H., pp. 183-188, (2017); Harrestrup M., Svendsen S., Internal insulation applied in heritage multi-storey buildings with wooden beams embedded in solid masonry brick façades, Build. Environ., 99, pp. 59-72, (2016); Finken G.R., Bjarlov S.P., Peuhkuri R.H., Effect of façade impregnation on feasibility of capillary active thermal internal insulation for a historic dormitory - a hygrothermal simulation study, Construct. Build. Mater., 113, pp. 202-214, (2016); Guizzardi M., Carmeliet J., Derome D., Risk analysis of biodeterioration of wooden beams embedded in internally insulated masonry walls, Construct. Build. Mater., 99, pp. 159-168, (2015); Wegerer P., Nackler J.N., Bednar T., pp. 1478-1483, (2015); Vereecken E., Roels S., Capillary active interior insulation: do the advantages really offset potential disadvantages?, Mater. Struct. Mater. Construct., 48, pp. 3009-3021, (2015); Guizzardi M., Derome D., Vonbank R., Carmeliet J., Hygrothermal behaviour of a massive wall with interior insulation during wetting, Build. Environ., 89, pp. 59-71, (2015); Hengsberger H., Kautsch P., Ruisinger U., Interior insulation without a vapour barrier - spray-on rendered recycled paper cellulose put to the test, Bauphysik, 38, pp. 98-111, (2015); Vereecken E., Van Gelder L., Janssen H., Roels S., Interior insulation for wall retrofitting – a probabilistic analysis of energy savings and hygrothermal risks, Energy Build, 89, pp. 231-244, (2015); Johansson P., Geving S., Hagentoft C.-E., Jelle B.P., Rognvik E., Kalagasidis A.S., Time B., Interior insulation retrofit of a historical brick wall using vacuum insulation panels: hygrothermal numerical simulations and laboratory investigations, Build. Environ., 79, pp. 31-45, (2014); Vereecken E., Roels S., A comparison of the hygric performance of interior insulation systems: a hot box-cold box experiment, Energy Build, 80, pp. 37-44, (2014); Morelli M., Svendsen S., Investigation of interior post-insulated masonry walls with wooden beam ends, J. Build. Phys., 36, pp. 265-293, (2013); Kramer M.A., Finch G., Hubbs B., Teetaert J., Monitoring of Historic Structures For Whole-Building Improvements, (2010); Pavlik Z., Cerny R., Hygrothermal performance study of an innovative interior thermal insulation system, Appl. Therm. Eng., 29, pp. 1941-1946, (2009); Pavlik Z., Cerny R., Experimental assessment of hygrothermal performance of an interior thermal insulation system using a laboratory technique simulating on-site conditions, Energy Build., 40, pp. 673-678, (2008); Toman J., Vimmrova A., Cerny R., Long-term on-site assessment of hygrothermal performance of interior thermal insulation system without water vapour barrier, Energy Build., 41, pp. 51-55, (2009); Cerny R., Madera J., Interior thermal insulation systems in the renovation of historical buildings: a computational analysis, WIT Trans. Built Environ., 55, pp. 405-414, (2001); Grunewald J., Ruisinger U., Haupl P., The rijksmuseum amsterdam – Hygrothermal analysis and dimensioning of thermal insulation, Proceedings of the 3rd International Building Physics Conference - Research in Building Physics and Building Engineering, pp. 345-352, (2006); Haupl P., Grunewald J., Ruisinger U., pp. 345-354, (2005); Kunzel H.M., Effect of interior and exterior insulation on the hygrothermal behaviour of exposed walls, Mater. Struct. Mater. Construct., 31, pp. 99-103, (1998); Odgaard T., Bjarlov S.P., Rode C., Interior insulation – Experimental investigation of hygrothermal conditions and damage evaluation of solid masonry façades in a listed building, Build. Environ., 129, pp. 1-14, (2018); Govaerts Y., Hayen R., de Bouw M., Verdonck A., Meulebroeck W., Mertens S., Gregoire Y., Performance of a lime-based insulating render for heritage buildings, Construct. Build. Mater., 159, pp. 376-389, (2018); Campbell N., McGrath T., Nanukuttan S., Brown S., Monitoring the hygrothermal and ventilation performance of retrofitted clay brick solid wall houses with internal insulation: two UK case studies, Case Stud. Construct. Mater., 7, pp. 163-179, (2017); Koci V., Jerman M., Fiala L., Cerny R., (2017); Zhou X., Derome D., Carmeliet J., Hygrothermal modelling and evaluation of freeze-thaw damage risk of masonry walls retrofitted with internal insulation, Build. Environ., 125, pp. 285-298, (2017); Biseniece E., Zogla G., Kamenders A., Purvins R., Kass K., Vanaga R., Blumberga A., Thermal performance of internally insulated historic brick building in cold climate: a long term case study, Energy Build., 152, pp. 577-586, (2017); Zhao J., Grunewald J., Ruisinger U., Feng S., Evaluation of capillary-active mineral insulation systems for interior retrofit solution, Build. Environ., 115, pp. 215-227, (2017); Zhou X., Carmeliet J., Derome D., Influence of envelope properties on interior insulation solutions for masonry walls, Build. Environ., 135, pp. 246-256, (2018); Odgaard T., Bjarlov S.P., Rode C., Influence of hydrophobation and deliberate thermal bridge on hygrothermal conditions of internally insulated historic solid masonry walls with built-in wood, Energy Build., 173, pp. 530-546, (2018); Koci V., Koci J., Madera J., Pavlik Z., Gu X., Zhang W., Cerny R., Thermal and hygric assessment of an inside-insulated brick wall: 2D critical experiment and computational analysis, J. Build. Phys., 41, pp. 497-520, (2018); Koci J., Madera J., Jerman M., Dolezelova M., Cerny R., (2018); Biseniece E., Freimanis R., Purvins R., Gravelsins A., Pumpurs A., Blumberga A., Study of hygrothermal processes in external walls with internal insulation, Environ. Climate Technol., 22, pp. 22-41, (2018); Magrini A., Lazzari S., Marenco L., Energy retrofitting of buildings and hygrothermal performance of building components: application of the assessment methodology to a case study of social housing, Int. J. Heat Technol., 35, pp. S205-S213, (2017); Ibrahim M., Wurtz E., Biwole P.H., Achard P., Sallee H., Hygrothermal performance of exterior walls covered with aerogel-based insulating rendering, Energy Build, 84, pp. 241-251, (2014); Hoffmann C., Bachinger J., Refurbishment of an event centre – how building simulation was used to formulate some fundamental design guidelines for an architectural competition, Proceedings of BS 13th Conference of the International Building Performance Simulation Association, pp. 901-906, (2013); Koci V., Madera J., Cerny R., Computer aided design of interior thermal insulation system suitable for autoclaved aerated concrete structures, Appl. Therm Eng., 58, pp. 165-172, (2013); Ferreira T.M.D., Corvacho M.H.P., Hygrothermal analysis on the use of internal thermal insulation systems in portuguese residential buildings, pp. 1770-1777, (2007); Lohonyai A.J., Korany Y., Ross M.D., Effective foam insulation for single-wythe concrete masonry walls, J. Build. Phys., 37, pp. 200-210, (2013); Maia J., Ramos N.M.M., De Freitas V.P., pp. 2724-2729, (2015); Ahola S., Lahdensivu J., pp. 375-380, (2017); Kloseiko P., Kalamees T., Case study: in-situ testing and model calibration of interior insulation solution for an office building in cold climate, CESB 2016 - Central Europe Towards Sustainable Building, pp. 159-166, (2016); Galliano R., Ghazi Wakili K., Stahl T., Binder B., Daniotti B., Performance evaluation of aerogel-based and perlite-based prototyped insulations for internal thermal retrofitting: HMT model validation by monitoring at demo scale, Energy Build., 126, pp. 275-286, (2016); Alev U., Kalamees T., Avoiding mould growth in an interiorly insulated log wall, Build. Environ., 105, pp. 104-115, (2016); Arumagi E., Pihlak M., Kalamees T., Reliability of interior thermal insulation as a retrofit measure in historic wooden apartment buildings in cold climate, Energy Proced., 78, pp. 871-876, (2015); Kang Y., Chang S.J., Kim S., Analysis of hygrothermal performance of wood frame walls according to position of insulation and climate conditions, J. Korean Wood Sci. Technol., 44, pp. 264-273, (2016); Kunzel H.M., Flexible vapour control solves moisture problems of building assemblies—smart retarder to replace the conventional PE-Film, J. Thermal Envel. Build. Sci., 23, pp. 95-102, (1999); Bothwell K., Saich M., Mallion P., Retrofit of existing housing in the united kingdom: the carbon reduction possibilities, Proceedings of the 27th International Conference on Passive and Low Energy Architecture, Presses University Architecture &amp; Sustainable Development (Vol.2):, de Louvain, Louvain, Belgium, pp. 589-595, (2011); ASHRAE Handbook: Fundamentals, American Society of Heating, (2005); Kolsch P., Zirkelbach D., Nusser B., Et al., Airflow through lightweight wall assemblies - influence of size and location of leakages, Proceedings of the Buildings XIII Conference. Thermal Performance of the Exterior Envelopes of Whole Buildings XIII International Conference, pp. 459-484, (2016); Seiffert K., Damp Diffusion and Buildings: Prevention of Damp Diffusion Damage in Buildings Design, (1970); Kunzel H.M., Control M., Flat roof construction manual materials, design, applications, institut für internationale architektur-dokumentation, München, pp. 62-73, (2010); Kunzel H.M., Zirkelbach D., Schafaczek B., Modelling the effect of air leakage in hygrothermal envelope simulation, Fraunhofer Institute Building Enclosure Technology &amp; Environment Council, (2012); van Schijndel A.W.M., Integrated Heat Air and Moisture Modelling and Simulation, (2007); de Wit M., HAMBASE: Heat, Air and Moisture model For Building And Systems Evaluation, (2006); Spruijt J.G., Bischoff J.M.A., Validation of Natural Airflow Simulation Using HAMBase - Simulation of Multiple Benchmarks, (2014); Woloszyn M., Rode C., Tools for performance simulation of heat, air and moisture conditions of whole buildings, Build. Simul., 1, pp. 5-24, (2008); (2016); Coakley D., Raftery P., Keane M., A review of methods to match building energy simulation models to measured data, Renew. Sustain. Energy Rev., 37, pp. 123-141, (2014); Measurement of Energy, Demand, and Water Savings, (2014); Cornick S., Dalgliesh W.A., Adapting rain data for hygrothermal models, Build. Environ., 44, pp. 987-996, (2009); Cornick S.M., Kumaran M.K., A comparison of empirical indoor relative humidity models with measured data, J. Build. Phys., 31, pp. 243-268, (2008); Coskun T., Sahin C.D., Gulhan O., Arsan Z.D., Akkurt G.G., Chapter 1.11 - Ventilation Strategies for the preventive conservation of manuscripts in the necip paşa library, Exergetic, Energetic and Environmental Dimensions, pp. 179-192, (2018); Munoz-Gonzalez C.M., Leon-Rodriguez A.L., Navarro-Casas J., Air conditioning and passive environmental techniques in historic churches in mediterranean climate. a proposed method to assess damage risk and thermal comfort pre-intervention, simulation-based, Energy Build, 130, pp. 567-577, (2016); Laverge J., Delghust M., Van Den Bossche N., Janssens A., Airtightness assessment of single family houses in belgium, Int. J. Ventil., 12, pp. 379-390, (2014); Liddament M.W., A Guide to Energy Efficient Ventilation, (1996); Relander T.-O., Holos S., Thue J.V., Airtightness estimation—A state of the art review and an en route upper limit evaluation principle to increase the chances that wood-frame houses with a vapour- and wind-barrier comply with the airtightness requirements, Energy Build, 54, pp. 444-452, (2012); Ramos N.M., Delgado J.Q., Barreira E., De Freitas V.P., Hygrothermal properties applied in numerical simulation: interstitial condensation analysis, J. Build. Appra., 5, pp. 161-170, (2009); Wegerer P., Neusser M., Bednar T., Auswirkungen der luft(un)dichtheit auf die feuchtebelastung von konstruktionen mit innendämmsystemen, (2012); (2012)</t>
  </si>
  <si>
    <t>2-s2.0-85073065903</t>
  </si>
  <si>
    <t>Baros T.; Jaros P.; Baros M.; Vertal M.; Katunsky D.</t>
  </si>
  <si>
    <t>Refurbishment and Parametricism Case Study: “Sokel” (Stone Plinth)</t>
  </si>
  <si>
    <t>Lecture Notes in Civil Engineering</t>
  </si>
  <si>
    <t>604 LNCE</t>
  </si>
  <si>
    <t>10.1007/978-3-031-67576-8_2</t>
  </si>
  <si>
    <t>https://www.scopus.com/inward/record.uri?eid=2-s2.0-85202175621&amp;doi=10.1007%2f978-3-031-67576-8_2&amp;partnerID=40&amp;md5=7a37f1420b87ffc825473809897f1920</t>
  </si>
  <si>
    <t>The paper is devoted to research on the connection between restoration and parametricism, focusing on the design of plinth restoration. Presented is the introductory part of the case study “Sokel” - Test - which deals with the verification of the established hypothesis, whether it is possible to improve the hygrothermal behaviour of the historical building's wet facade wall by means of air flow in existing or proposed ventilated gaps and by morphological by changes of the visually unexposed part of the structure. Using a combination of two-dimensional CFD and HAM simulation, the hygrothermal behaviour of the façade wall with different air flows in ventilated gap is described. The introduction presents the issue, and the proposed methodology is described. Next, the individual steps of the case study building refurbishment design methodology procedure are explained in detail. At the end, the partial results of the research task are presented, and a discussion and a summary of the findings are presented. © The Author(s), under exclusive license to Springer Nature Switzerland AG 2024.</t>
  </si>
  <si>
    <t>CFD; HAM; Morphology Optimization; Parametricism; Plinth; Refurbishment</t>
  </si>
  <si>
    <t>Architectural design; Facades; Reconstruction (structural); Walls (structural partitions); Air flow; Case-studies; HAM; Historical buildings; Hygrothermal behavior; Morphology optimization; Optimisations; Parametricism; Plinth; Refurbishment; Restoration</t>
  </si>
  <si>
    <t>Pivko D., Extraction methods in historical quarries in Slovakia nearby areas for dressed stone products, Acta Geologica Slovaca, 10, pp. 105-131, (2018); Krus M., Holm A., Schmidt T., Ermittlung der Kapillartransportkoeffizienten mineralischer Baustoffe aus dem w-Wert / Estimating the capillary transport coefficients of mineral building materials from the water absorption coefficient, Restor. Build. Monuments, 3, pp. 219-234, (1997); Cabalova D., Krása Kameňa v Živote Človeka. Veda, Bratislava, (2013); Rahiminejad M., Khovalyg D., Review on ventilation rates in the ventilated air-spaces behind common wall assemblies with external cladding, Build. Environ., 190, (2021); Holm A., Kunzel H.M., Two-dimensional transient heat and moisture simulations of rising damp with WUFI2D, Research in Building Physics, Pp. 363–367. CRC Press, (2003); Liu J., Niu J., CFD simulation of the wind environment around an isolated high-rise building: An evaluation of SRANS LES and DES models, Build. Environ., 96, pp. 91-106, (2016); Tominaga Y., Stathopoulos T., Numerical simulation of dispersion around an isolated cubic building: Comparison of various types of k-?? Models, Atmos. Environ., 43, pp. 3200-3210, (2009); Ishihara T., Hibi K., Turbulent measurements of the flow field around a high-rise building, Wind Eng. JAWE, 1998, pp. 55-64, (1998); Kunzel H., Verfahren zur ein-und zweidimensionalen Berechnung des gekoppelten Warme und Feuchtetransports in Bauteilen mit einfachen Kennwerten, (Stuttgart, (1994); Jaros P., Vertal M., Slavik R., Hygric and thermal properties of Slovak building sandstones, J. Build. Eng., 66, (2023); Jaros P., Vertal M., Characterization of sandstones of eastern Slovakia, Selected Sci. Pap. J. Civil Eng., 14, pp. 19-30, (2019); Janssens K., Feng C., Marincioni V., Van Den Bossche, (2023)</t>
  </si>
  <si>
    <t>2-s2.0-85202175621</t>
  </si>
  <si>
    <t>Journal of Environmental Engineering (Japan)</t>
  </si>
  <si>
    <t>87</t>
  </si>
  <si>
    <t>All Open Access; Bronze Open Access</t>
  </si>
  <si>
    <t>205</t>
  </si>
  <si>
    <t>Sarkany A.; Lewis T.; Bednar T.; Grüner M.</t>
  </si>
  <si>
    <t>Hygrothermal Simulation - Modelling Air Flow along Gap-like 3D Paths in Building Components with Darcy’s Law</t>
  </si>
  <si>
    <t>https://www.scopus.com/inward/record.uri?eid=2-s2.0-85167595414&amp;partnerID=40&amp;md5=a2167841d88606cc2988cdf3dad51685</t>
  </si>
  <si>
    <t>Unintended air flows have been recognised as a decisive factor when focusing on moisture damages and durability in building components (Hens 2017). Although efforts have been undertaken to better quantify convective moisture transport (Nusser, Bednar, and Teibinger 2010; Künzel, Zirkelbach, and Schafaczek 2010), IEA Annex 41 closed with a critical outlook on the”deeper exploration” of e.g. integrating air flow models (EBC 2013). Referring to this note, this paper presents an initial approach how to simulate air flows in constructions along 3D paths - to the difference of flows in porous media - such as in gaps and its implementation in hygrothermal simulation. An introductory overview of the established ways to model air flows in hygrothermal simulation tools and current developments in this field are given. Taking into account 3D air flows in the joints of the insulation as inviscid incompressible air flows proved to be a possibility to match measurement data with the results of a coupled heat, air and moisture (HAM) simulation. In this approach, space available to air flow was modelled as permeable cells. A leakage inducing a time dependant pressure difference was modelled as a mass flow sources. The data used for comparison consists of an experiment where the effect of leakages when exposed to pressure differences has been investigated. The comparison of the results show that with this approach the behaviour of the construction to the pressure differences could be qualitatively recreated. The refinement of the physical model and the experimental investigation of the hygrothermal properties of the gaps and joints are identified as future research topics. © 2022 ASHRAE.</t>
  </si>
  <si>
    <t>Air; Flow of fluids; Moisture; Air flow; Air flow modeling; Flows in porous media; Hygrothermal simulation; In-buildings; Moisture damage; Moisture durabilities; Moisture transport; Pressure differences; Simulation-modelling; Porous materials</t>
  </si>
  <si>
    <t>Kalagasidis Angela Sasic, Bednar Thomas, Hagentoft Carl-Eric, The evaluation of the interface moisture conductivity between control volumes. Comparison between linear, harmonic and integral averaging, 9th International Conference on Performance of the Exterior Envelopes of Whole Buildings, (2004); Avila Lisa, Ayachit Utkarsh, The ParaView guide: Updated for ParaView version 4.3. Full color version, (2015); Belleudy Clement, Kayello Ahmad, Et al., Experimental and numerical investigations of the effects of air leakage on temperature and moisture fields in porous insulation, Building and Environment, 94, pp. 457-466, (2015); Belleudy Clement, Woloszyna Monika, Et al., A 2D model for coupled heat, air, and moisture transfer through porous media in contact with air channels, International Journal of Heat and Mass Transfer, 95, pp. 453-465, (2016); Deseyve Christoph, Bednar Thomas, Wind induced thermal losses through compact pitched roof constructions – test roof – measurements, simulation model and validation, Research in building physics and building engineering, pp. 459-464, (2020); Whole Building Heat-Air-Moisture Response (MoistEng), 41, (2013); Ferrantelli Andrea, Et al., Positive pressure effect on moisture performance in a school building, 43, 2, pp. 121-142, (2019); Hagentoft C. E., Impact and Stability of Closed Air Flow Paths Inside Insulated Structures, (1998); Hagentoft C. E., Introduction to Building Physics, (2001); Harreither Christoph, Et al., Experimental Determination of the Influence of Installing Fibrous Insulation Materials in Timber Frames on the Air Permeability and Convective Air Transport, Energy Procedia, 78, pp. 2748-2753, (2015); Hugo S. L. C., Building Physics - Heat, Air and Moisture 3e Fundamentals and Engineering Methods with Examples and Exercises, (2017); Hurel Nolwenn, Impact of air infiltration on buildings’ performance: focus on the experimental study within timber-frame walls, Phdthesis, (2016); Kalamees Targo, Kurnitski Jarek, Moisture Convection Performance of External Walls and Roofs, 33, (2010); Kunzel Hartwig, Zirkelbach Daniel, Schafaczek Beate, Berücksichtigung der Wasserdampfkonvektion bei der Feuchteschutzbeurteilung von Holzkonstruktionen - PDF Kostenfreier Download, 63, pp. 25-33, (2010); Lewis Thomas, Et al., Influences on the drying behavior of a concrete ceiling below a cold attic, Journal of Physics Conference Series 2021, (2021); Nespoli Lorenzo, Janetti Michele Bianchi, Ochs Fabian, Comparing Different Approaches for Moisture Transfer inside Constructions with Air Gaps, Proceedings of the 2013 COMSOL Conference in Rotterdam, (2013); Nusser Bernd, Bednar Thomas, Teibinger Martin, Euro-Glaser unter Beachtung solarer Strahlungs-/ Absportionsbedingungen sowie druckinduzierter Feuchteeinträge im Vergleich zu dynamischen Simulationen, (2010); ÖNORM B 8110-2: Wärmeschutz im Hochbau: Teil 2: Wasserdampfdiffusion, -konvektion und Kondensationsschutz, (2020); Rodriguez-Vazquez Martin, Et al., Coupling building energy simulation and computational fluid dynamics: An overview, Journal of Building Physics, 44, 2, pp. 137-180, (2020); Serkitjis M., Hagentoft C. E., The influence of natural convection on the heat transfer in an air filled porous medium bounded by an air layer, Nordic Journal of Building Physics, (1998); Shankar V., Hellsvik R., Hagentoft C. E., Transient heat transfer and moisture load in cold attic constructions - A CFD analysis, AIP Conference Proceedings, (2018); van Rooijen Daan, Analysis of hygrothermal simulation software and the effect of convective heat and moisture transport on hygrothermal risk assessment, Mathesis, (2021); Wang J., Hagentoft C. E., A numerical method for calculating combined heat, air and moisture transport in building envelope components, Nordic Journal of Building Physics, (2001); Wegerer Paul, Bednar Thomas, Hygrothermal performance of wooden beam heads in inside insulated walls considering air flows, Energy Procedia, 132, pp. 652-657, (2017)</t>
  </si>
  <si>
    <t>2-s2.0-85167595414</t>
  </si>
  <si>
    <t>Junginger M.; Defo M.; Moore T.; Lacasse M.A.; John V.M.</t>
  </si>
  <si>
    <t>Assessment of Moisture Performance of National Building Code Canada Compliant Wall Assemblies under Climate Change</t>
  </si>
  <si>
    <t>10.23967/dbmc.2020.012</t>
  </si>
  <si>
    <t>https://www.scopus.com/inward/record.uri?eid=2-s2.0-85125796613&amp;doi=10.23967%2fdbmc.2020.012&amp;partnerID=40&amp;md5=a56593d829a976e17d4aa1a8d2b0b56f</t>
  </si>
  <si>
    <t>Due to climate change, higher temperatures and rainfalls are expected to happen in some areas of Canada, which might increase the climate loads on buildings and lead to premature degradation of moisture-sensitive materials in wall assemblies. To investigate potential durability issues in three cities across Canada (Ottawa, Vancouver and Calgary), code-compliant wood-frame walls with two types of claddings, stucco and brick, were simulated using Delphin 5.9. Two different climate data sets, historical and future when a global warming of 3.5o C is expected to be reached were used. The hygrothermal performance in terms of mold growth risk was analysed with respect to cladding types, considering air leakage. All the three cities are similarly warmer in the future. However, wind-driven rain (WDR) is higher in Vancouver than in Ottawa and Calgary. With brick cladding the relative humidity is kept below the threshold for mould development only in Ottawa and Calgary. With stucco in future, while Ottawa shows greater mould indices than historical, Calgary shows opposite behavior. The results suggest that the risk of mould growth due to air leakage may decrease in the future. © The authors.</t>
  </si>
  <si>
    <t>Air leakage; Brick cavity wall; Climate resilience; Code compliant walls; Moisture performance; Stucco wall</t>
  </si>
  <si>
    <t>Brick; C (programming language); Codes (symbols); Global warming; Moisture; Molds; Walls (structural partitions); Air leakage; Brick cavity walls; Calgary; Climate resilience; Code compliant wall; Compliant walls; Moisture performance; Mould growth; Stucco wall; Wall assembly; Stucco</t>
  </si>
  <si>
    <t>ASHRAE 160 [Criteria for Moisture-Control Design Analysis in Buildings, (2016); ASHRAE Handbook of fundamentals, (2017); Bush E., Lemmen D. S., Canada's changing climate report, (2019); Cornick S., Djebbar R., Dalgliesh W. A., Selecting moisture reference years using a Moisture Index approach, Building and Environment, 38, 12, pp. 1367-1379, (2003); Gaur A., Lacasse M., Armstrong M., Climate Data to Undertake Hygrothermal and Whole Building Simulations Under Projected Climate Change Influences for 11 Canadian Cities, Data, 4, 2, (2019); Gradeci K., Labonnote N., Time B., Kohler J., Mould growth criteria and design avoidance approaches in wood-based materials - A systematic review, Construction and Building Materials, 150, pp. 77-88, (2017); Climate change 2014: Synthesis report. Contribution of Working Groups I, II and III to the Fifth Assessment Report of the Intergovernmental Panel on Climate Change, (2014); ISO 6946 [Building components and building elements - Thermal resistance and thermal transmittance - Calculation methods], (2017); Kumaran M. K., Lackey J., Normandin N., Tariku F., van Reenen D., A thermal and moisture transport property database for commom building and insulation materials (No. 1018-RP), (2002); Lacasse M. A., Defo M., Gaur A., Moore T., Sahyoun S., Approach for assessing the climate resilience of buildings to the effects of hygrothermal loads (CRB-CPI-Y2-R18, (2018); Lacasse M. A., Ge H., Hegel M., Jutras R., Laouadi A., Sturgeon G., Wells J., Guideline on design for durability of building envelopes (CRBCPI-Y2-R19), (2018); National Building Code of Canada, (2015); Ojanen T., Kumaran M. K., Air Exfiltration and Moisture Accumulation in Residential Wall Cavities, Thermal Performance of the Exterior Envelopes of Buildings V, pp. 491-500, (1992); Ojanen T., Kumaran K., Effect of Exfiltration on the Hygrothermal Behaviour of a Residential Wall Assembly, Journal of Thermal Insulation and Building Envelopes, 19, 3, pp. 215-227, (1996); Ojanen T., Viitanen H., Peuhkuri R., Lahdesmaki K., Vinha J., Salminen K., Mold Growth Modeling of Building Structures Using Sensitivity Classes of Materials, Eleventh International Conference on Thermal Performance of the Exterior Envelopes of Whole Buildings, 10, (2010); Saber H. H., Report on Properties and Position of Materials in the Building Envelope for Housing and Small Buildings, (2014); Sedlbauer K., Prediction of mould fungus formation on the surface of and inside building components, (2001); Vereecken E., Roels S., Review of mould prediction models and their influence on mould risk evaluation, Building and Environment, 51, pp. 296-310, (2012); Vereecken E., Saelens D., Roels S., A comparison of different mould prediction models, 12th Conference of International Building Performance Simulation Association, 8, (2011); Viitanen H., Krus M., Ojanen T., Eitner V., Zirkelbach D., Mold Risk Classification Based on Comparative Evaluation of Two Established Growth Models, Energy Procedia, 78, pp. 1425-1430, (2015)</t>
  </si>
  <si>
    <t>2-s2.0-85125796613</t>
  </si>
  <si>
    <t>Yang H.; Xie Y.; Yuan J.</t>
  </si>
  <si>
    <t>Potential of self-drying siding with raised air cavities for building envelopes</t>
  </si>
  <si>
    <t>152</t>
  </si>
  <si>
    <t>10.1016/j.buildenv.2019.02.002</t>
  </si>
  <si>
    <t>https://www.scopus.com/inward/record.uri?eid=2-s2.0-85061641826&amp;doi=10.1016%2fj.buildenv.2019.02.002&amp;partnerID=40&amp;md5=d250e1805b64882685ae7bcf7c41fdf3</t>
  </si>
  <si>
    <t>Within building envelopes, air cavities behind a siding provide a feasible way to mitigate the moisture-related issues such as rain penetration and frost damage. However, for a common contact-applied siding system, the small gap directly attaching the siding with the wall sheathing greatly limits the drying functions of air cavity: capillary break, drainage, and ventilation drying. Moreover, the drying performance of the air cavities behind the siding remains unknown, and commonly a rectangular unicellular cavity is inexactly assumed to simplify investigating the hygrothermal performance of a siding system. After analyzing the irregular and complex configuration of air cavities composed of multiple same cavity cells, this paper develops a mathematical model based on the circuit diagram principle to quantify the air flow rate within the multicellular cavity behind a siding with respect to the air differential pressure and flow resistance. This model is then used to evaluate the drying performance of a siding system, which is found to be heavily dependent on the cavity depth between the siding and the wall sheathing. Further sensitivity analysis shows that the air flow rate within the cavity rapidly increases to a maximum value as the cavity depth increases, and then converges at a lower value. The cavity's air flow rate reaches its maximal value when the cavity depth is 48% of a siding panel projection, e.g., 0.31 in (7.8 mm) for a triple dutch lap vinyl siding. Based on the optimal cavity depth, several design improvements are proposed. © 2019 Elsevier Ltd</t>
  </si>
  <si>
    <t>Air cavity; Cavity depth; Circuit diagram; Drying potential; Multicellular cavity; Siding</t>
  </si>
  <si>
    <t>Air; Sensitivity analysis; Solar buildings; Walls (structural partitions); Air cavity; Cavity depth; Circuit diagrams; Multicellular cavity; Siding; airflow; building; drainage; moisture; numerical model; sensitivity analysis; ventilation; Drying</t>
  </si>
  <si>
    <t>Chew M.Y.L., Tan S.S., Kang K.H., Contribution analysis of maintainability factors for cladding facades, Architect. Sci. Rev., 48, 3, pp. 215-227, (2005); U.S. Energy Facts, (2018); United States Census Bureau, Principal Type of Exterior Wall Material of New Single-Family Houses Completed, (2011); Drumheller S.C., Carll C.G., Effect of cladding systems on moisture performance of wood-framed walls in a mixed-humid climate, Thermal Performance of the Exterior Envelopes of Whole Buildings XI International Conference, December 5-9, 2010, Clearwater Beach, Florida [electronic resource].[Atlanta, GA: American Society of Heating, Refrigerating and Air-Conditioning Engineers], 2010, (2010); Barbosa S., Ip K., Perspectives of double skin façades for naturally ventilated buildings: a review, Renew. Sustain. Energy Rev., 40, pp. 1019-1029, (2014); Souza L.C.O., Souza H.A., Rodrigues E.F., Experimental and numerical analysis of a naturally ventilated double-skin façade, Energy Build., 165, pp. 328-339, (2018); Kumar K.S., Pressure equalization of rainscreen walls: a critical review, Build. Environ., 35, 2, pp. 161-179, (2000); Ge H., Ying Y., Investigation of ventilation drying of rainscreen walls in the coastal climate of British Columbia, Thermal Performance of the Exerior Envelopes of Whole Buildings X, Florida, US, 232, (2007); Marinosci C., Semprini G., Morini G.L., Experimental analysis of the summer thermal performances of a naturally ventilated rainscreen façade building, Energy Build., 72, pp. 280-287, (2014); Suarez C., Joubert P., Molina J.L., Sanchez F.J., Heat transfer and mass flow correlations for ventilated facades, Energy Build., 43, 12, pp. 3696-3703, (2011); Patania F., Gagliano A., Nocera F., Ferlito A., Galesi A., Thermofluid-dynamic analysis of ventilated facades, Energy Build., 42, 7, pp. 1148-1155, (2010); Aparicio-Fernandez C., Vivancos J.L., Ferrer-Gisbert P., Royo-Pastor R., Energy performance of a ventilated façade by simulation with experimental validation, Appl. Therm. Eng., 66, 1-2, pp. 563-570, (2014); Gagliano A., Nocera F., Aneli S., Thermodynamic analysis of ventilated façades under different wind conditions in summer period, Energy Build., 122, pp. 131-139, (2016); Finch G., Straube J., Ventilated wall claddings: review, field performance and hygrothermal modeling, Proceedings of the Thermal Performance of the Exterior Envelopes of Whole Buildings X International Conference, Clearwater Beach, FL, USA, 27, (2007); Van Belleghem M., Steeman M., Janssens A., De Paepe M., Heat, air and moisture transport modelling in ventilated cavity walls, J. Build. Phys., 38, 4, pp. 317-349, (2015); Astorqui J.S.C., Porras-Amores C., Ventilated Façade with double chamber and flow control device, Energy Build., 149, pp. 471-482, (2017); Popp W., Untersuchungen über die Belüftung des Luftraumes hinter vorgesetzten Fassadenbekleidungen aus kleinformatigen elementen, (1980); Mayer E., Kunzel H., Untersuchungen über die notwendige Hinterlüftung an Aubenwandbekeidung aus grobformatigen Bauteilen. Franhofer Institut für Bauphysick, Forschungsbericht B Ho, 1, (1983); Lawton M.D., Brown W.C., Lang A.M., Stucco-clad Wall Drying Experiment. Thermal Performance of the Exterior Envelopes of Whole Buildings VIII, (2002); Straube J.F., Burnett E.F.P., Vents, ventilation and masonry veneer wall systems, Proc of the Eighth Canadian Masonry Symposium, Jasper, Alta., Canada, (1998); Salonvaara M., Karagiozis A.N., Pazera M., Miller W., Air cavities behind claddings-what have we learned, Thermal Performance of the Exterior Envelopes of Whole Buildings Tenth International Conference, (2007); Vinyl siding institute, Vinyl Siding Installation Manual, (2017); Menards. Vinyl Siding., (2018); Interstate, WATER DAMAGE? 3 THINGS YOU NEED TO KNOW ABOUT DRYING OUT, (2018); Magazine T.F., How to Replace Spalling Bricks, (2018); Lasance C.J.M., The Thrmal Conductivity of Moist Air, (2013); Mitchell J.W., James E.B., Principles of Heating, Ventilation, and Air Conditioning in Buildings, (2013); Idelchik I.E., Handbook of Hydraulic Resistance, (1986); Straube J., Burnett E., Vents, Ventilation, and Pressure Moderation, (1995); Straube J., John, Burnett E.F.P., Rain control and design strategies, J. Therm. Envelope Build. Sci., 23, 1, pp. 41-56, (1999); Hutcheon N.B., Handegord G.O.P., Building Science for a Cold Climate, (1983); Van Straaten R., Measurement of Ventilation and Drying of Vinyl Siding and Brick Clad Wall Assemblies, (2004); Vickery B.J., Gust factors for internal pressures in low-rise buildings. Tenth Canadian Congress of applied mechanics: CANCAM'85, Proceedings, (1985); Schetz J.A., Fuhs A.E., Fundamentals of Fluid Mechanics, (1999); White F.M., Fluid Mechanics, (2003); Van Straaten R.A., Pressure Equalization of Wind-Induced Pressures on Residential Vinyl Siding Cladding in Full-Scale, (2017); Oh J.H., Kopp G.A., Modelling of spatially and temporally-varying cavity pressures in air-permeable, double-layer roof systems, Build. Environ., 82, pp. 135-150, (2014); Desta T.Z., Langmans J., Roels S., Experimental data set for validation of heat, air and moisture transport models of building envelopes, Build. Environ., 46, 5, pp. 1038-1046, (2011); Losses Due to Sudden Enlargement, (2018); Losses Due to Sudden Contraction, (2018); Nieto F., Hernandez S., Jurado J., Optimum design of long-span suspension bridges considering aeroelastic and kinematic constraints, Struct. Multidiscip. Optim., 39, 2, pp. 133-151, (2009); Yang R.J., Shape design sensitivity analysis with frequency response, Comput. Struct., 33, 4, pp. 1089-1093, (1989); Tan R.C., Some acceleration methods for iterative computer of derivatives of eigenvalues and eigenvectors, Int. J. Numer. Methods Eng., 28, 7, pp. 1505-1519, (1989); Misyura S., Contact angle and droplet evaporation on the smooth and structured wall surface in a wide range of droplet diameters, Appl. Therm. Eng., 113, pp. 472-480, (2017)</t>
  </si>
  <si>
    <t>2-s2.0-85061641826</t>
  </si>
  <si>
    <t>Sarkany A.; Bednar T.</t>
  </si>
  <si>
    <t>Hygrothermal simulation and risk evaluation - A literature review and assessment of the applicability of the Lattice Boltzmann Method to derive the influence of convection on moisture behaviour in building components</t>
  </si>
  <si>
    <t>IOP Conference Series: Earth and Environmental Science</t>
  </si>
  <si>
    <t>1101</t>
  </si>
  <si>
    <t>6</t>
  </si>
  <si>
    <t>062004</t>
  </si>
  <si>
    <t>10.1088/1755-1315/1101/6/062004</t>
  </si>
  <si>
    <t>https://www.scopus.com/inward/record.uri?eid=2-s2.0-85144126929&amp;doi=10.1088%2f1755-1315%2f1101%2f6%2f062004&amp;partnerID=40&amp;md5=66335a19b6925f6a19bf3454de97f205</t>
  </si>
  <si>
    <t>Since the Lattice Boltzmann Method (LBM) showed promising ways in describing fluid flow and convective phenomena, this literature review gives an overview of the application of LBM to date in the realm of hygrothermal simulations (HAM). Furthermore, ways to apply LBM to derive the influence of convection on moisture transport in building components are assessed. This is achieved by a literature review which is carried out for specific fields of application of LBM which are intertwined with topics of hygrothermal simulations (Natural convection, Porous media, Flow through channels). The introduction is accompanied by a condensed theoretical overview of the used LBM-scheme in most of the reviewed literature. It could be seen that, in regard to these topics, the majority of simulations is carried out 2-dimensionally using mostly the D2Q9 model with single relaxation times. The reviewed literature shows LBM as a validated tool, solidifying the choice of LBM for our purposes. No coupling of LBM to HAM-simulations to derive the influence of convection on moisture transport could be found. In conclusion, the deduction of parameters like the permeability is identified as a potent subfield for the coupling of LBM and HAM-simulations for further research. © Published under licence by IOP Publishing Ltd.</t>
  </si>
  <si>
    <t>Descovich X, Lattice Boltzmann Modeling and Simulation of Incompressible Flows in Distensible Tubes for Applications in Hemodynamics, (2012); Mora P, Morra G, Yuen D A., Geophysical Journal International, 220, pp. 682-702, (2020); Sousa A C. M., Nabovati A, Advanced Computational Methods in Heat Transfer X, 61, pp. 59-68, (2008); Siodlaczek M, Gaedtke M, Simonis S, Schweiker M, Homma N, Krause M J., Building and Environment, 192, (2021); Walther E, Contribution de la methode Lattice Boltzmann à l'etude de l'enveloppe du bâtiment, (2016); Kuznik F, Rusaouen G, Numerical Heat Transfer Applications, 52, pp. 315-335, (2007); Kruger T, Kusumaatmaja H, Kuzmin A, Shardt O, Silva G, Viggen E M., pp. 1868-4513, (2017); Energy in Buildings and Communities Programme 2013 Whole Building Heat-Air-Moisture Response (MoistEng) Annex; Hens S L. C. H., Building Physics-Heat, Air and Moisture 3e Fundamentals and Engineering Methods with Examples and Exercises Berlin, (2017); Applying Energy Storage in Ultra-low Energy Buildings Annex, (2013); Bednar Nusser Bernd, Teibinger Martin Thomas, Euro-Glaser unter Beachtung solarer Strahlungs-/ Absportionsbedingungen sowie druckinduzierter Feuchteeinträge im Vergleich zu dynamischen Simulationen, (2010); Kunzel H, Zirkelbach D, Schafaczek B, Zeitschrift fur Wärme Kälte Schall und Brandschutz, 25, (2010); Bednar T, Hagentoft C, Reliability of Energy Efficient Building Retrofitting-Probability Assessment of Performance and Cost: Risk management by probabilistic assessment, Development of guidelines for practice, (2015); Kunzel H, Accounting for unintended moisture sources in hygrothermal building analysis, (2014); Mohamad A A., Lattice Boltzmann Method, (2019); Eshghinejadfard A, Daroczy L, Janiga G, Thevenin D, Calculation of the permeability in porous media using the lattice Boltzmann method, (2016); Dubois F, Lin C A., Tekitek M M., Computers &amp; Fluids, 124, pp. 278-287, (2016); Li Z, Yang M, Zhang Y, International Journal of Heat and Mass Transfer, 94, pp. 222-238, (2016); Bararnia H, Soleimani S, Ganji D D., International Communications in Heat and Mass Transfer, 38, pp. 1436-1442, (2011); Goodarzi M, D'Orazio A, Keshavarzi A, Mousavi S, Karimipour A, Physica A: Statistical Mechanics and its Applications, 509, pp. 210-233, (2018); Imani G, Computers &amp; Mathematics with Applications, 79, pp. 1188-1207, (2020); Wang L, Zhao Y, Yang X, Shi B, Chai Z, Applied Mathematical Modelling, 71, pp. 31-44, (2019); He B, Lu S, Gao D, Chen W, Lin F, Chinese Journal of Physics, 63, pp. 186-200, (2020); Yun H, Fangfang M A., Guo X, Chen B, Procedia Engineering, 205, pp. 4009-4016, (2017); Chen S, You Z, Yang S L., Zhou X, Construction and Building Materials, 240, (2020); Zhao C Y., Dai L N., Tang G H., Qu Z G., Li Z Y., International Journal of Heat and Fluid Flow, 31, pp. 925-934, (2010); Hu Y, Li D, Shu S, Niu X, International Journal of Heat and Mass Transfer, 92, pp. 1166-1170, (2016); Wang Z, Liu Y, Zhang J, Dang N, International Journal of Thermal Sciences, 135, pp. 386-397, (2019); Li Z, Yang M, Zhang Y, International Journal of Heat and Mass Transfer, 70, pp. 864-874, (2014); Nee A, International Journal of Mechanical Sciences, 173, (2020); Polasanapalli S R. G., Anupindi K, Computers &amp; Fluids, 181, pp. 259-282, (2019); Bednar T, Proceedings of the 6th Symposium on Building Physics in the Nordic Countries: Trondheim, (2002); Chen S, Li W, Mohammed H I., International Communications in Heat and Mass Transfer, 122, (2021); Javadzadegan A, Joshaghani M, Moshfegh A, Akbari O A., Afrouzi H H., Toghraie D, Physica A: Statistical Mechanics and its Applications, 537, (2020); Liu Q, He Y L., International Journal of Heat and Mass Transfer, 127, pp. 497-502, (2018); Wang Y, Zhong C, Cao J, Zhuo C, Liu S, A simplified finite volume lattice Boltzmann method for simulations of fluid flows from laminar to turbulent regime, Part I: Numerical framework and its application to laminar flow simulation, (2020); Ross-Jones J, Gaedtke M, Sonnick S, Radle M, Nirschl H, Krause M J., Computers &amp; Mathematics with Applications, 77, pp. 209-221, (2019); Jabbari Y, Tsotsas E, Kirsch C, Kharaghani A, Chemical Engineering Science, 207, (2019); El Abrach H, Dhahri H, Mhimid A, Drying Technology, 31, (2013); Panda D, Supriya B, Kharaghani A, Tsotsas E, Surasani V K., Chemical Engineering Science, 220, (2020); Zachariah G T., Panda D, Surasani V K., Chemical Engineering Science, 196, pp. 310-323, (2019); Zhao J, Qin F, Derome D, Carmeliet J, Journal of Hydrology, 588, (2020); Zhao J, Qin F, Derome D, Kang Q, Carmeliet J, Advances in Water Resources, 145, (2020); Basha M, Sidik N A. C., Numerical predictions of laminar and turbulent forced convection: Lattice Boltzmann simulations using parallel libraries, (2018); Gokaltun S, Dulikravich G S., Lattice Boltzmann computations of incompressible laminar flow and heat transfer in a constricted channel, (2010); Huang J, Xiao F, Yin X, Lattice Boltzmann simulation of pressure-driven two-phase flows in capillary tube and porous medium, (2017); Jadidi M, Simmonds M J., Dadvand A, Tansley G, A systematic study for determining the optimal relaxation time in the lattice Boltzmann method at low Reynolds numbers, (2022); Javadzadegan A, Motaharpour S H., Moshfegh A, Akbari O A., Afrouzi H H., Toghraie D, Lattice-Boltzmann method for analysis of combined forced convection and radiation heat transfer in a channel with sinusoidal distribution on walls, (2019); Javaherdeh K, Karimi H, Azarbarzin T, Lattice Boltzmann simulation of fluid flow and heat transfer in a micro channel with heat sources located on the walls, (2021); Jebakumar A S., Magi V, Abraham J, Lattice-Boltzmann simulations of particle transport in a turbulent channel flow, International Journal of Heat and Mass Transfer, (2018); Mohammadi Pirouz M, Farhadi M, Sedighi K, Nemati H, Fattahi E, Lattice Boltzmann simulation of conjugate heat transfer in a rectangular channel with wall-mounted obstacles, (2011); Najafi M J., Naghavi S M., Toghraie D, Numerical simulation of flow in hydro turbines channel to improve its efficiency by using of Lattice Boltzmann Method, (2019); Tiftikci A, Kocar C, Lattice Boltzmann simulation of flow across a staggered tube bundle array, (2016); Xu H, Luo Z, Lou Q, Chen J, Numerical simulation of heat and mass transfer through porous solid with lattice Boltzmann method, (2017); Suo S, Liu M, Gan Y, Chemical Engineering Science, 218, (2020); Yin P, Zhao C, Ma J, Huang L, Water, 11, (2019)</t>
  </si>
  <si>
    <t>2-s2.0-85144126929</t>
  </si>
  <si>
    <t>Piggot-Navarrete J.; Blanchet P.; Cogulet A.; Cabral M.R.</t>
  </si>
  <si>
    <t>Hygrothermal and airtightness performance assessment of prefabricated lightweight wall systems for cold climates</t>
  </si>
  <si>
    <t>98</t>
  </si>
  <si>
    <t>111500</t>
  </si>
  <si>
    <t>10.1016/j.jobe.2024.111500</t>
  </si>
  <si>
    <t>https://www.scopus.com/inward/record.uri?eid=2-s2.0-85211135029&amp;doi=10.1016%2fj.jobe.2024.111500&amp;partnerID=40&amp;md5=39d7eb7d95c70edfeb0bba0173cdc7f4</t>
  </si>
  <si>
    <t>Wooden prefabricated wall panels (WPWP) are increasingly used in the residential sector due to their practical and environmental benefits compared to traditional on-site systems. However, there is limited information regarding their influence on the building envelope's performance, particularly at panel junctions. Therefore, this study investigated the hygrothermal and airtightness performance of two WPWP systems, one standard and one optimized, focusing mainly on panel-to-panel junctions. Laboratory heat and vapor transfer, thermography, and airtightness assessments were conducted over two full-scale prefabricated walls and a reference on-site traditional wall. In addition, hygrothermal simulations were carried out utilizing WUFI Pro, to compare laboratory heat and vapor transfer results with theoretical values. The results showed that the prefabricated walls reduced heat loss through the air leakage sources of the junctions by up to 17.8 % and a reduction of air infiltration by up to 76 %, compared to the on-site reference. It was also found that using polyurethane foam in panel junctions generated thermal benefits. Still, care should be taken with the amount of polyurethane foam used to avoid increasing relative humidity. In addition, bio-based insulation (hemp fiber) used in the optimized prefabricated wall exhibited adequate hygrothermal performance as it slightly improved the thermal resistance without increasing the risk of interstitial condensation. Overall, the findings demonstrated that wooden prefabricated wall systems can significantly reduce heat loss and air infiltration, highlighting their potential as a hygrothermally efficient alternative to traditional construction methods. © 2024 The Authors</t>
  </si>
  <si>
    <t>Airtightness assessment; Envelope junctions; Heat and vapor transfer; Lightweight structure; Prefabricated envelopes; Thermal bridges; Wood construction</t>
  </si>
  <si>
    <t>Concretes; High modulus textile fibers; Mortar; Rigid foamed plastics; Walls (structural partitions); Wooden bridges; Airtightness; Airtightness assessment; Envelope junction; Heat and vapor transfer; Hygrothermal; Lightweight structures; Prefabricated envelope; Thermal bridge; Vapor transfer; Wood construction; Hemp fibers</t>
  </si>
  <si>
    <t>Li Y.L., Han M.Y., Liu S.Y., Chen G.Q., Energy consumption and greenhouse gas emissions by buildings: a multi-scale perspective, Build. Environ., 151, pp. 240-250, (2019); Andaloro A., Gasparri E., Avesani S., Aitchison M., Market survey of timber prefabricated envelopes for new and existing buildings, PowerSkin Conference 2019, pp. 1-9, (2019); Munoz P., Gonzalez C., Recio R., Gencel O., The role of specific heat capacity on building energy performance and thermal discomfort, Case Stud. Constr. Mater., 17, (2022); Natephra W., Motamedi A., Yabuki N., Fukuda T., Integrating 4D thermal information with BIM for building envelope thermal performance analysis and thermal comfort evaluation in naturally ventilated environments, Build. Environ., 124, pp. 194-208, (2017); Yang B., Wu M., Li Z., Yao H., Wang F., Thermal comfort and energy savings of personal comfort systems in low temperature office: a field study, Energy Build., 270, (2022); Poza-Casado I., Cardoso V.E.M., Almeida R.M.S.F., Meiss A., Ramos N.M.M., Padilla-Marcos M.A., Residential buildings airtightness frameworks: a review on the main databases and setups in Europe and North America, Build. Environ., 183, (2020); Lindblad F., Lehman K., Aggerstam E., A comparative study of the environmental impact from transportation of prefabricated building elements using wood or concrete, Int. J. Eng. Technol., 11, pp. 154-161, (2019); Navaratnam S., Ngo T., Gunawardena T., Henderson D., Performance review of prefabricated building systems and future research in Australia, Buildings, 9, pp. 1-14, (2019); Chang Y., Li X., Masanet E., Zhang L., Huang Z., Ries R., Unlocking the green opportunity for prefabricated buildings and construction in China, Resour. Conserv. Recycl., 139, pp. 259-261, (2018); Boafo F.E., Kim J.H., Kim J.T., Performance of modular prefabricated architecture: case study-based review and future pathways, Sustainability, 8, pp. 1-16, (2016); Hong J., Shen G.Q., Li Z., Zhang B., Zhang W., Barriers to promoting prefabricated construction in China: a cost–benefit analysis, J. Clean. Prod., 172, pp. 649-660, (2017); Correia Lopes G., Vicente R., Azenha M., Ferreira T.M., A systematic review of Prefabricated Enclosure Wall Panel Systems: focus on technology driven for performance requirements, Sustain. Cities Soc., 40, pp. 688-703, (2017); Gasparri E., Aitchison M., Unitised timber envelopes. A novel approach to the design of prefabricated mass timber envelopes for multi-storey buildings, J. Build. Eng., 26, (2019); Gustafsson A., Eliasson L., Product quality deficiencies in the prefabrication industry for single-family houses, Wood Mater. Sci. Eng., 9, pp. 1-11, (2014); Kyjakova L., Mandicak T., Mesaros P., Modern Methods of Constructions and Their Components, (2014); Conjuguer nos forces pour un avenir énergétique durable, (2022); Programme Novoclimat – volet « maison, (2020); Cid A., Étude de Marché: Market Study Report, pp. 1-52, (2020); Guy-Plourde S., Blanchet P., Caractérisation de l'industrie de la construction préfabriquée en bois au Québec, (2022); Lawson R.M., Ogden R.G., Bergin R., Application of modular construction in high-rise buildings, J. Architect. Eng., 18, pp. 148-154, (2012); Arashpour M., Wakefield R., Abbasi B., Lee E.W.M., Minas J., Off-site construction optimization: sequencing multiple job classes with time constraints, Autom Constr, 71, pp. 262-270, (2016); Zhang W., Lee M.W., Jaillon L., Poon C.S., The hindrance to using prefabrication in Hong Kong's building industry, J. Clean. Prod., 204, pp. 70-81, (2018); Piggot-Navarrete J., Blanchet P., Cabral M.R., Perez C., Investigating the impact of construction workmanship defects on the hygrothermal performance and airtightness of lightweight-structure wooden envelope systems, Build. Environ., 243, pp. 1-14, (2023); Zalewski L., Lassue S., Rousse D., Boukhalfa K., Experimental and numerical characterization of thermal bridges in prefabricated building walls, Energy Convers. Manag., 51, pp. 2869-2877, (2010); Bruno R., Bevilacqua P., Cuconati T., Arcuri N., Energy evaluations of an innovative multi-storey wooden near Zero Energy Building designed for Mediterranean areas, Appl. Energy, 238, pp. 929-941, (2019); Troppova E., Kleparnik J., Tippner J., Thermal bridges in a prefabricated wooden house: comparison between evaluation methods, Wood Mater. Sci. Eng., 11, pp. 305-311, (2016); Kayello A., Ge H., Athienitis A., Rao J., Experimental study of thermal and airtightness performance of structural insulated panel joints in cold climates, Build. Environ., 115, pp. 345-357, (2017); Koh C.H., Gauvin F., Schollbach K., Brouwers H.J.H., Investigation of material characteristics and hygrothermal performances of different bio-based insulation composites, Construct. Build. Mater., 346, (2022); Bakkour A., Ouldboukhitine S.-E., Biwole P., Amziane S., A review of multi-scale hygrothermal characteristics of plant-based building materials, Construct. Build. Mater., 412, (2024); Zampori L., Dotelli G., Vernelli V., Life cycle assessment of hemp cultivation and use of hemp-based thermal insulator materials in buildings, Environ. Sci. Technol., 47, pp. 7413-7420, (2013); Latif E., Tucker S., Ciupala M.A., Wijeyesekera D.C., Newport D., Hygric properties of hemp bio-insulations with differing compositions, Construct. Build. Mater., 66, pp. 702-711, (2014); Latif E., Ciupala M.A., Tucker S., Wijeyesekera D.C., Newport D.J., Hygrothermal performance of wood-hemp insulation in timber frame wall panels with and without a vapour barrier, Build. Environ., 92, pp. 122-134, (2015); Julien E., Blanchet P., Gosselin L., Case-study: fully prefabricated wood wall connection to improve building envelope and on-site efficiency, Buildings, 12, (2022); Caron-Rousseau A., Blanchet P., Gosselin L., Parametric study of lightweight wooden wall assemblies for cold and subarctic climates using external insulation, Buildings, 12, (2022); Hygrothermal Performance of Building Components and Building Elements - Internal Surface Temperature to Avoid Critical Surface Humidity and Interstitial Condensation - Calculation Methods, (2012); Chae Y., Kim S.H., Interstitial hygrothermal analysis for retrofitting exterior concrete wall of modern heritage building in Korea, Case Stud. Constr. Mater., 16, (2022); Pearson C., Thermal Imaging of Building Fabric, (2011); Kalamees T., Alev U., Parnalaas M., Air leakage levels in timber frame building envelope joints, Build. Environ., 116, pp. 121-129, (2017); Thermal Performance of Buildings - Qualitative Detection of Thermal Irregularities in Building Envelopes - Infrared Method (ISO 6781:1983 Modified), (2000); Taylor T., Counsell J., Gill S., Combining thermography and computer simulation to identify and assess insulation defects in the construction of building façades, Energy Build., 76, pp. 130-142, (2014); Taylor T., Counsell J., Gill S., Energy efficiency is more than skin deep: improving construction quality control in new-build housing using thermography, Energy Build., 66, pp. 222-231, (2013); Housing B.C., Guide I., Achieving Airtight Buildings, (2017); E2357-18: Standard Test Method for Determining Air Leakage Rate of Air Barrier Assemblies, (2018); Aggarwal C., Ge H., Defo M., Lacasse M.A., Hygrothermal performance assessment of wood frame walls under historical and future climates using partial least squares regression, Build. Environ., 223, (2022); Latif E., Ciupala M.A., Wijeyesekera D.C., The comparative in situ hygrothermal performance of Hemp and Stone Wool insulations in vapour open timber frame wall panels, Construct. Build. Mater., 73, pp. 205-213, (2014); Carmeliet J., Derome D., Temperature driven inward vapor diffusion under constant and cyclic loading in small-scale wall assemblies: Part 1 experimental investigation, Build. Environ., 48, pp. 48-56, (2011); Ge H., Straube J., Wang L., Fox M.J., Field study of hygrothermal performance of highly insulated wood-frame walls under simulated air leakage, Build. Environ., 160, (2019); Hurel N., Pailha M., Garnier G., Woloszyn M., Impact of different construction details on air permeability of timber frame wall assemblies: some experimental evidences from a three-scale laboratory study, J. Build. Phys., 41, pp. 162-189, (2017); Kalamees T., Air tightness and air leakages of new lightweight single-family detached houses in Estonia, Build. Environ., 42, pp. 2369-2377, (2007); Zheng X., Cooper E., Gillott M., Wood C., A practical review of alternatives to the steady pressurisation method for determining building airtightness, Renew. Sustain. Energy Rev., 132, (2020)</t>
  </si>
  <si>
    <t>2-s2.0-85211135029</t>
  </si>
  <si>
    <t>Norrefeldt V.; Riedl G.</t>
  </si>
  <si>
    <t>Investigation of the impact of a particle foam insulation on airflow, temperature distribution, pressure profile and frost buildup on the aircraft structure</t>
  </si>
  <si>
    <t>Aerospace</t>
  </si>
  <si>
    <t>8</t>
  </si>
  <si>
    <t>359</t>
  </si>
  <si>
    <t>10.3390/aerospace8120359</t>
  </si>
  <si>
    <t>https://www.scopus.com/inward/record.uri?eid=2-s2.0-85120783233&amp;doi=10.3390%2faerospace8120359&amp;partnerID=40&amp;md5=83061b5d5437f2daacbfefa6fcc392ee</t>
  </si>
  <si>
    <t>Aircraft insulation separates the thermally comfortable cabin interior environment from the extremely cold outside conditions. However, the fabrication and installation of the insulation in the aircraft is a labor-intensive task. Tailored, rigid particle foam parts could be a solution to speed up the installation process. The presented study investigates the feasibility of such a concept from a hygrothermal point of view. Due to the temperature difference between the cold air trapped between aircraft skin and insulation on one side and the warm cabin air on the other side, a buoyancy-induced pressure difference forms. This effect drives the warmer air through leakages in the insulation system towards the cold skin. Here, moisture contained in the air condenses on the cold surfaces, increasing the risk for uncontrolled dripping (“rain in the plane”) when it melts. Therefore, this study compares the condensate build-up of different installations of a rigid particle foam frame insulation with the classical glass fiber capstrip. Tests are hosted in the Fraunhofer Lining and Insulation Test Environment chamber. It is shown that careful installation of the particle foam frame insulation provides similar level of moisture protection as the current state of the art insulation, and that the condensate amount does not depend on the amount of airflow directly behind the sidewall. © 2021 by the authors. Licensee MDPI, Basel, Switzerland.</t>
  </si>
  <si>
    <t>Aircraft insulation; Frost; Ice; Leakage; Moisture</t>
  </si>
  <si>
    <t>ASHRAE Standarad 161–2007: Air Quality within Commercial Aircraft, (2007); Manual of the ICAO Standard Athmosphere Extended to 80 km, (1993); Manville Johns, Microlite(R) AA Blankets: Aircraft Thermal and Acoustical Insulation Data Sheet, (2020); Orcotek Strip Blankets; Thermal/Acoustical Insulation Flame Propagation Test Method Details, (2005); Installation of Thermal/Acoustic Insulation for Burnthrough Protection, (2008); Chen R., Fang L., Liu J., Herbig B., Norrefeldt V., Mayer F., Fox R., Wargocki P., Cabin air quality on non-smoking commercial flights: A review of published data on airborne pollutants, Indoor Air, 31, pp. 926-957, (2021); Grun G., Trimmel M., Holm A., Low humidity in the aircraft cabin environment and its impact on well-being–Results from a laboratory study, Build. Environ, 47, pp. 23-31, (2012); Giaconia C., Orioli A., Di Gangi A., Air quality and relative humidity in commercial aircrafts: An experimental investigation on short-haul domestic flights, Build. Environ, 67, pp. 69-81, (2013); Norrefeldt V., Mayer F., Herbig B., Strohlein R., Wargocki P., Lei F., Effect of Increased Cabin Recirculation Airflow Fraction on Relative Humidity, CO2 and TVOC, Aerospace, 8, (2021); Worner M., Wärme- und Stofftransport in einer Flugzeugkabine unter Besonderer Berücksichtigung des Feuchtetransports, (2006); Riedl G., Rosler D., Stratbucker S., Grun G., Interdisziplinäre Kabinenarchitekturen (INDIKAR), (2006); Walkinshaw D., Preston K., Controlling Cabin and Envelope Air Flows and Pressure Differentials to Prevent Envelope Condensation, Enable Cabin Humidification, Improve Fire Safety, and Decrease Fuel Use, SAE Int. J. Aerosp, 4, pp. 1243-1253, (2011); Walkinshaw D.S., Horstman R.H., Stack Pressure-Created Airflows in Insulation Envelopes, Part 2: Passenger Aircraft, ASHRAE J, 5, pp. 32-46, (2020); Westhoff A., Wagner C., Experimental study of moist air flow in the gap between the aircraft’s fuselage and its cabin wall, CEAS Aeronaut J, 11, pp. 591-607, (2020); Huber P., Schuster K., Townsend R., Controlling Nuisance Moisture in Commercial Airplanes, (1999); Industrial Platinum Resistance Thermometer Sensors, (2009); Kaneka Belgium NV., EPERAN PP MH24/Expanded Propylene, (2016)</t>
  </si>
  <si>
    <t>2-s2.0-85120783233</t>
  </si>
  <si>
    <t>Fischer H.; Korjenic A.</t>
  </si>
  <si>
    <t>Hygrothermal Performance of Bio-Based Exterior Wall Constructions and Their Resilience under Air Leakage and Moisture Load</t>
  </si>
  <si>
    <t>13</t>
  </si>
  <si>
    <t>10</t>
  </si>
  <si>
    <t>2650</t>
  </si>
  <si>
    <t>10.3390/buildings13102650</t>
  </si>
  <si>
    <t>https://www.scopus.com/inward/record.uri?eid=2-s2.0-85175027726&amp;doi=10.3390%2fbuildings13102650&amp;partnerID=40&amp;md5=1da47bc247367168080f952c0ba503f6</t>
  </si>
  <si>
    <t>The use of renewable building materials in construction is crucial to minimising the environmental impact of new buildings. Bio-based building materials have a wide range of positive properties, many of which are due to their hygroscopic behaviour. The purpose of this study is to investigate the hygrothermal performance of chopped straw, sheep’s wool, and cellulose insulated timber frame external wall assemblies in the presence of air leakage and high indoor relative humidity. For this purpose, tests with different moisture contents, overpressures, and defects in the airtight layer were carried out in an outdoor test stand over a period of 18 months. The results were compared with a conventional mineral wool insulated construction. Both sheep’s wool and cellulose are particularly fault-tolerant insulation materials in combination with timber frame constructions. All three bio-based insulations, despite defects in the airtight layer, showed no mould-prone moisture content. An installation level insulated with sheep’s wool can increase the fault tolerance of constructions with insulation made of hygric and more sensitive building materials. For chopped straw and cellulose, the measured U-value was lower than expected. Further in situ measurements of bio-based structures are important to gain confidence in their hygrothermal behaviour and to increase their use in multi-storey construction. © 2023 by the authors.</t>
  </si>
  <si>
    <t>bio-based insulation; cellulose insulation; chopped straw insulation; ecological building constructions; hygrothermal performance; sheep’s wool insulation; sustainable buildings</t>
  </si>
  <si>
    <t>Jones D., Introduction to the Performance of Bio-Based Building Materials, (2017); Markstrom E., Bystedt A., Fredriksson M., Sandberg D., Perceptions of Swedish Architects and Contractors for the Use of Bio-Based Building Materials, Proceedings of the COST Action FP1407 2nd Conference—Innovative Production Technologies and Increased Wood Products Recycling and Reuse, pp. 29-30; Cascione V., Maskell D., Shea A., Walker P., A review of moisture buffering capacity: From laboratory testing to full-scale measurement, Constr. Build. Mater, 200, pp. 333-343, (2019); Salonvaara M., Kunzel H., Ojanen T., Karagiozis A., Holm A., Moisture Buffering Effects on Indoor Air Quality—Experimental and Simulation Results Mikael, Proceedings (CD) of the Performance of Exterior Envelopes of Whole Buildings IX International Conference, 11, (2004); Motamedi S., Rousse D.R., Promis G., The Evolution of Crop-Based Materials in the Built Environment: A Review of the Applications, Performance, and Challenges, Energies, 16, (2023); Osanyintola O.F., Simonson C.J., Moisture buffering capacity of hygroscopic building materials: Experimental facilities and energy impact, Energy Build, 38, pp. 1270-1282, (2006); Mendes N., Winkelmann F.C., Lamberts R., Philippi P.C., Moisture effects on conduction loads, Energy Build, 35, pp. 631-644, (2003); Bestimmung der Wärmeleitfähigkeit mit dem Plattengerät—Teil 2: Ermittlung des Nennwertes und des Bemessungswertes der Wärmeleitfähigkeit für homogene Baustoffe, (2009); Fischer H., Aichholzer M., Korjenic A., Ecological Potential of Building Components in Multi-Storey Residential Construction: A Comparative Case Study between an Existing Concrete and a Timber Building in Austria, Sustainability, 15, (2023); Magwood C., Bowden E., Trottier M., Emissions of Materials Benchmark Assessment for Residential Construction, (2022); Ruther N., Materialtechnische, Grundlagen Naturfaserdämmstoffe, (2022); Latif E., Ciupala M.A., Tucker S., Wijeyesekera D.C., Newport D.J., Hygrothermal performance of wood-hemp insulation in timber frame wall panels with and without a vapour barrier, Build. Environ, 92, pp. 122-134, (2015); Bunkholt N.S., Ruther P., Gullbrekken L., Geving S., Effect of forced convection on the hygrothermal performance of a wood frame wall with wood fibre insulation, Build. Environ, 195, (2021); Latif E., Lawrence R.M.H., Shea A.D., Walker P., An experimental investigation into the comparative hygrothermal performance of wall panels incorporating wood fibre, mineral wool and hemp-lime, Energy Build, 165, pp. 76-91, (2018); Salonen T., Fischer H., Korjenic A., Chopped Straw as an Insulation Material: The Influence of Different Blow-In Technologies and Flame Retardants on hygrothermal properties, Buildings, 13, (2023); Koh C.H., Gauvin F., Schollbach K., Brouwers H.J.H., Upcycling wheat and barley straws into sustainable thermal insulation: Assessment and treatment for durability, Resour. Conserv. Recycl, 198, (2023); Soto M., Rojas C., Cardenas-Ramirez J.P., Characterization of a Thermal Insulating Material Based on a Wheat Straw and Recycled Paper Cellulose to Be Applied in Buildings by Blowing Method, Sustainability, 15, (2023); Carlos Javier R.H., Karin R.N., Juan Pablo C.R., Valorization of Wheat Crop Waste in Araucanía, Chile: Development of Prototype of Thermal Insulation Material for Blowing Technique and Geographical Analysis, Buildings, 13, (2023); Zach J., Korjenic A., Petranek V., Hroudova J., Bednar T., Performance evaluation and research of alternative thermal insulations based on sheep wool, Energy Build, 49, pp. 246-253, (2012); Vrana T., Gudmundsson K., Comparison of fibrous insulations—Cellulose and stone wool in terms of moisture properties resulting from condensation and ice formation, Constr. Build. Mater, 24, pp. 1151-1157, (2010); Wang L., Ge H., Effect of air leakage on the hygrothermal performance of highly insulated wood frame walls: 511 Comparison of air leakage modelling methods, Build. Environ, 123, pp. 363-377, (2017); Ge H., Straube J., Wang L., Fox M.J., Field study of hygrothermal performance of highly insulated wood-frame walls under simulated air leakage, Build. Environ, 160, (2019); Derome D., Moisture accumulation in cellulose insulation caused by air leakage in flat wood frame roofs, J. Therm. Envel. Build. Sci, 28, pp. 269-287, (2005); Wang L., Ge H., Stochastic modelling of hygrothermal performance of highly insulated wood framed walls, Build. Environ, 146, pp. 12-28, (2018); Mlakar J., Strancar J., Temperature and humidity profiles in passive-house building blocks, Build. Environ, 60, pp. 185-193, (2013); Greenhouse Gases: Carbon Footprint of Products: Requirements and Guidelines for Quantification and Communication, (2012); Pittau F., Lumia G., Heeren N., Iannaccone G., Habert G., Retrofit as a carbon sink: The carbon storage potentials of the EU housing stock, J. Clean. Prod, 214, pp. 365-376, (2019); Goswein V., Reichmann J., Habert G., Pittau F., Land availability in Europe for a radical shift toward bio-based construction, Sustain. Cities Soc, 70, (2021); Parlato M.C.M., Porto S.M.C., Valenti F., Assessment of sheep wool waste as new resource for green building elements, Build. Environ, 225, (2022); Lopez Hurtado P., Rouilly A., Vandenbossche V., Raynaud C., A review on the properties of cellulose fibre insulation, Build. Environ, 96, pp. 170-177, (2016); (2023); OIB Richtlinie 6—Energieeinsparung und Wärmeschutz, (2023); Thermal Insulation—Building Elements—In-Situ Measurement of Thermal Resistance and Thermal Transmittance—Part 1: Heat Flow Meter Method, (2014); O'Hegarty R., Kinnane O., Lennon D., Colclough S., In-situ U-value monitoring of highly insulated building envelopes: Review and experimental investigation, Energy Build, 252, (2021); Park S., Shim J., Song D., A comparative assessment of in-situ measurement methods for thermal resistance of building walls under mild climate conditions, J. Build. Eng, 77, (2023); Zirkelbach D., Tieben J., Tanaka E., Pfabigan N., Andresen N., Bachinger J., Nusser B., ThermNat—Building Components with Insulation from Sustainable Raw Materials: Focus (hygro-)thermal Conditions, (2023); Sedlbauer K., Prediction of Mould Fungus Formation on the Surface of/and Inside Building Components, (2001); Tieben J., Pfabigan N., Bachinger J., Dämmstoffe aus biogenen Rohstoffen auf dem Prüfstand. Neue Erkenntnisse zu Wärmeleitfähigkeit und Dauerhaftigkeit, Holzforsch. Austria Mag, 1, pp. 3-5, (2023); Collet F., Pretot S., Lanos C., Hemp-Straw Composites: Thermal and Hygric Performances, Energy Procedia, 139, pp. 294-300, (2017); Romano A., Bras A., Grammatikos S., Shaw A., Riley M., Dynamic behaviour of bio-based and recycled materials for indoor environmental comfort, Constr. Build. Mater, 211, pp. 730-743, (2019); Holcroft N., Shea A., Moisture Buffering and Latent Heat Effects in Natural Fibre Insulation Materials, pp. 221-228, (2012); Rode C., Peuhkari R.H., Mortensen L.H., Hansen K.K., Time B., Gustavsen A., Ojanen T., Ahonen J., Svennberg K., Arfvidsson J., Et al., Moisture Buffering of Building Materials Department of Civil Engineering, (2005)</t>
  </si>
  <si>
    <t>2-s2.0-85175027726</t>
  </si>
  <si>
    <t>Månhardt G.; Odén G.; Stockhaus M.; Wallentén P.</t>
  </si>
  <si>
    <t>Moisture safety in ventilated cathedral roofs</t>
  </si>
  <si>
    <t>012018</t>
  </si>
  <si>
    <t>10.1088/1742-6596/2069/1/012018</t>
  </si>
  <si>
    <t>https://www.scopus.com/inward/record.uri?eid=2-s2.0-85121455736&amp;doi=10.1088%2f1742-6596%2f2069%2f1%2f012018&amp;partnerID=40&amp;md5=f235e8fc3a66ec02decf5fa3156b0a44</t>
  </si>
  <si>
    <t>Cathedral roofs are commonly used when constructing small houses in Sweden. In contrast to roof constructions with a cold attic, where frequent moisture damage has been noted, the cathedral roof is difficult to access for inspection. Furthermore, Swedish building regulations sets high demands regarding moisture safety, although there are no clear guidelines for their compliance. Hence, designing a cathedral roof must be done with great care. Previous studies investigating moisture safety in cathedral roofs, applies a constant air exchange in the ventilated air cavity. In this study a cathedral roof, ventilated from eave to eave, was analysed by examining the relevance of considering the variation in cavity air flow when conducting coupled heat and moisture calculations. The varied cavity air flow was calculated in an air flow model, considering wind and thermal buoyancy as driving forces. The accuracy of moisture safety assessments using the MRD model via hygrothermal calculations in WUFI Pro were also studied. Comparing moisture calculations with measurements showed high similarity when using a model with constant cavity air flow, and even higher resemblance when using a model with varied air flow. When actual conditions are sought, the study indicated that pinpointing important parameters, such as initial moisture content and moisture related material properties, would further increase precision in moisture calculations. © 2021 Institute of Physics Publishing. All rights reserved.</t>
  </si>
  <si>
    <t>Air; Buildings; Heating; Moisture; Ventilation; %moisture; Air cavity; Air exchanges; Air flow; Building regulations; Coupled heat; High demand; Moisture damage; Roof constructions; Swedishs; Roofs</t>
  </si>
  <si>
    <t>Så mår våra hus: Redovisning av regeringsuppdrag beträffande byggnaders tekniska utformning m.m, (2009); Mundt-Petersen S O, Moisture Safety in Wood Frame Buildings - Blind evaluation of the hygrothermal calculation tool WUFI using field measurements and determination of factors affecting the moisture safety, (2015); Gullbrekken L, Kvande T, Time B, Ventilated wooden roofs: Influence of local weather conditions - measurements, Energy Procedia, 132, pp. 777-782, (2017); Falk J, Ventilerad luftspalt i yttervägg: luftomsättningar och konvektiv fukttransport, (2010); Mundt-Petersen S O, Fuktsäkra träkonstruktioner II: Vägledning för utformning av träbaserade takkonstruktioner, (2016); Wallenten P, RäknaF 2018, (2018); Kronvall J, Air flows in building components, (1980); Gullbrekken L, Uvslokk S, Kvande T, Pettersson K, Time B, Wind pressure coefficients for roof ventilation purposes, J. Wind. Eng. Ind, 175, pp. 144-152, (2018); Sawen T, Stockhaus M, Hagentoft C-E, Schjoth Bunkholt N, Wahlgren P, Model of thermal buoyancy in cavity-ventilated roof constructions, J. Build. Phys, (2021); Hagentoft C-E, Air convection coupled with heat conduction in a wall. A thermal analysis, (1991); WUFI 2019 WUFI Pro (Version 6.4) [Software for hygrothermal calculations in building components] (Fraunhofer IBP); Thelandersson S, Isaksson T, Mould resistance design (MRD) model for evaluation of risk for microbial growth under varying climate conditions, Build. Environ, 65, pp. 18-25, (2013)</t>
  </si>
  <si>
    <t>2-s2.0-85121455736</t>
  </si>
  <si>
    <t>32</t>
  </si>
  <si>
    <t>Busser T.; Pailha M.; Piot A.; Woloszyn M.</t>
  </si>
  <si>
    <t>Simultaneous hygrothermal performance assessment of an air volume and surrounding highly hygroscopic walls</t>
  </si>
  <si>
    <t>148</t>
  </si>
  <si>
    <t>10.1016/j.buildenv.2018.11.031</t>
  </si>
  <si>
    <t>https://www.scopus.com/inward/record.uri?eid=2-s2.0-85057743660&amp;doi=10.1016%2fj.buildenv.2018.11.031&amp;partnerID=40&amp;md5=72f96e34a3a48a1af2abb9791df1ac8d</t>
  </si>
  <si>
    <t>Heat and mass transfers are becoming increasingly important in the field of building physics. They should be considered to predict building performance, especially for a wall containing highly hygroscopic materials. The moisture balance at the room scale is influenced by air leakage and moisture sources, by the vapour transfer within the material and by the interaction between the wall and the air volume. Therefore, to study the impact of mass transfers on the indoor climate, experimental data at different scales of study are needed. The present study adopts this approach to validate hygrothermal prediction. At the material scale, the hygric properties of wooden panels are estimated using an inverse method algorithm with transient experimental data. The phenomena within the wall and the interactions between the wall and the air volume are studied by designing an experimental device and characterising it in terms of air leakage to validate predictions obtained with model. The values of the material properties are validated at the wall scale by correctly simulating the hygrothermal behaviour before characterising the exchange between the wall surface and the air volume by estimating the convective transfer coefficient. Using this information, the indoor moisture level is correctly predicted by the developed model as well as the heat and mass flows through the walls. Finally, this numerical model highlights that taking into account coupled transfers has only a slight effect on the average energy consumed, while the heating power at the beginning of moisture steps is greatly decreased due to moisture adsorption. © 2018 Elsevier Ltd</t>
  </si>
  <si>
    <t>Impact of coupled transfer; Measurement; Numerical prediction; Wall - Air volume interaction; Wood-based material</t>
  </si>
  <si>
    <t>Forecasting; Inverse problems; Mass transfer; Measurement; Moisture; Air volumes; Coupled transfers; Experimental devices; Heat and mass transfer; Hygroscopic materials; Hygrothermal performance; Numerical predictions; Wood-based materials; experimental study; hygroscopicity; indoor air; moisture flux; numerical method; performance assessment; wall; wood; Walls (structural partitions)</t>
  </si>
  <si>
    <t>Bauklimatik Dresden B.; Rode C., Grau K.G., Whole building hygrothermal simulation model, Build. Eng., (2003); IBP F.; Mendes N., Ridley I., Lamberts R., Philippi P.C., Budag K., UMIDUS: a PC program for the prediction of heat and moisture transfer in porous building elements, Building Simulation Conference–IBPSA, 99, pp. 277-283, (1999); Berger J., Guernouti S., Woloszyn M., Buhe C., Factors governing the development of moisture disorders for integration into building performance simulation, J. Build. Eng., 3, pp. 1-15, (2015); Mendes N., Winkelmann F., Lamberts R., Philippi P., Moisture effects on conduction loads, Energy Build., 35, 7, pp. 631-644, (2003); Plathner P., Woloszyn M., Interzonal air and moisture transport in a test house: experiment and modelling, Build. Environ., 37, 2, pp. 189-199, (2002); Salonvaara M., Ojanen T., Holm A.H., Kunzel H.M., Karagiozis A., Moisture buffering effects on indoor air quality-experimental and simulation results, Proc. Build., 9, (2004); Fang L., Clausen G., Fanger P.O., Impact of temperature and humidity on the perception of indoor air quality, Indoor Air, 8, 2, pp. 80-90, (1998); Simonson C., Salonvaara M., Ojanen T., The effect of structures on indoor humidity–possibility to improve comfort and perceived air quality, Indoor Air, 12, 4, pp. 243-251, (2002); Woloszyn M., Kalamees T., Abadie M.O., Steeman M., Kalagasidis A.S., The effect of combining a relative-humidity-sensitive ventilation system with the moisture-buffering capacity of materials on indoor climate and energy efficiency of buildings, Build. Environ., 44, 3, pp. 515-524, (2009); Roels S., Carmeliet J., Hens H., Adan O., Brocken H., Cerny R., Pavlik Z., Ellis A.T., Hall C., Kumaran K., Et al., A comparison of different techniques to quantify moisture content profiles in porous building materials, J. Therm. Envelope Build. Sci., 27, 4, pp. 261-276, (2004); Derome D., Griffa M., Koebel M., Carmeliet J., Hysteretic swelling of wood at cellular scale probed by phase-contrast x-ray tomography, J. Struct. Biol., 173, 1, pp. 180-190, (2011); Barreira E., Almeida R.M., Delgado J., Infrared thermography for assessing moisture related phenomena in building components, Construct. Build. Mater., 110, pp. 251-269, (2016); Sfarra S., Ibarra-Castanedo C., Theodorakeas P., Avdelidis N.P., Perilli S., Zhang H., Nardi I., Koui M., Maldague X.P., Evaluation of the state of conservation of mosaics: simulations and thermographic signal processing, Int. J. Therm. Sci., 117, pp. 287-315, (2017); El Diasty R., Fazio P., Budaiwi I., Modelling of indoor air humidity: the dynamic behaviour within an enclosure, Energy Build., 19, 1, pp. 61-73, (1992); Feng C., Janssen H., Feng Y., Meng Q., Hygric properties of porous building materials: analysis of measurement repeatability and reproducibility, Build. Environ., 85, pp. 160-172, (2015); Busser T., Berger J., Piot A., Pailha M., Woloszyn M.; Labat M., Woloszyn M., Garnier G., Roux J.J., Dynamic coupling between vapour and heat transfer in wall assemblies: analysis of measurements achieved under real climate, Build. Environ., 87, pp. 129-141, (2015); James C., Simonson C.J., Talukdar P., Roels S., Numerical and experimental data set for benchmarking hygroscopic buffering models, Int. J. Heat Mass Tran., 53, 19-20, pp. 3638-3654, (2010); Talukdar P., Osanyintola O.F., Olutimayin S.O., Simonson C.J., An experimental data set for benchmarking 1-D, transient heat and moisture transfer models of hygroscopic building materials. Part II: experimental, numerical and analytical data, Int. J. Heat Mass Tran., 50, 25-26, pp. 4915-4926, (2007); Van Belleghem M., Steeman H.-J., Steeman M., Janssens A., De Paepe M., Sensitivity analysis of CFD coupled non-isothermal heat and moisture modelling, Build. Environ., 45, 11, pp. 2485-2496, (2010); Labat M., Chaleur - Humidité - Air dans les maisons à ossature bois : Expérimentation et modélisation, (2012); Simonson C.J., Salaonvaara M., Ojanen T., Heat and mass transfer between indoor air and a permeable and hygroscopic building envelope: Part II - verification and numerical studies, J. Build. Phys., 28, 2, pp. 161-185, (2004); Piot A., Hygrothermique du bâtiment : expérimentation sur une maison à ossature bois en conditions climatiques naturelles et modélisation numérique, (2009); Qin M., Walton G., Belarbi R., Allard F., Simulation of whole building coupled hygrothermal-airflow transfer in different climates, Energy Convers. Manag., 52, 2, pp. 1470-1478, (2011); Labat M., Woloszyn M., Moisture balance assessment at room scale for four cases based on numerical simulations of heat–air–moisture transfers for a realistic occupancy scenario, J. Build. Perform. Simulat., 9, 5, pp. 487-509, (2016); Rafidiarison H., Etudes expérimentales des transferts de masse et de chaleur dans les parois des constructions en bois, en vue de leur modélisation. Applications aux économies d’énergie et au confort dans l'habitat, (2012); Kedowide Y.-A., Analyses expérimentales et numériques du comportement hygrothermique d'une paroi composée de matériaux fortement hygroscopiques, (2015); Boulet S., Caractérisation du confort hygrothermique et acoustique dans les constructions à base de bois, (2009); Labat M., Woloszyn M., Roux J.-J., Piot A., Garnier G.; Labat M., Woloszyn M., Garnier G., Roux J.J., Assessment of the air change rate of airtight buildings under natural conditions using the tracer gas technique. comparison with numerical modelling, Build. Environ., 60, pp. 37-44, (2013); Ge H., Yang X., Fazio P., Rao J., Influence of moisture load profiles on moisture buffering potential and moisture residuals of three groups of hygroscopic materials, Build. Environ., 81, pp. 162-171, (2014); Busser T., Berger J., Piot A., Pailha M., Woloszyn M., Comparative study of three models formoisture transfer in hygroscopic materials, Transport Porous Media, 125, pp. 1-32, (2018); Luikov A.V., Systems of differential equations of heat and mass transfer in capillary-porous bodies (review), Int. J. Heat Mass Tran., 18, 1, pp. 1-14, (1975); Teasdale-St-Hilaire A., Derome D., Comparison of experimental and numerical results of wood-frame wall assemblies wetted by simulated wind-driven rain infiltration, Energy Build., 39, 11, pp. 1131-1139, (2007); Belarbi R., Qin M., Ait-Mokhtar A., Nilsson L.-O., Experimental and theoretical investigation of non-isothermal transfer in hygroscopic building materials, Build. Environ., 43, 12, pp. 2154-2162, (2008); Evrard A., De Herde A., Hygrothermal performance of lime-hemp wall assemblies, J. Build. Phys., 34, 1, pp. 5-25, (2010); Labat M., Woloszyn M., Garnier G., Roux J.J., Dynamic coupling between vapour and heat transfer in wall assemblies: analysis of measurements achieved under real climate, Build. Environ., 87, pp. 129-141, (2015); Perre P., Pierre F., Casalinho J., Ayouz M., Determination of the mass diffusion coefficient based on the relative humidity measured at the back face of the sample during unsteady regimes, Dry. Technol., 33, 9, pp. 1068-1075, (2015); Coleman T.F., Li Y., An interior trust region approach for nonlinear minimization subject to bounds, SIAM J. Optim., 6, 2, pp. 418-445, (1996); Busser T., Berger J., Piot A., Pailha M., Woloszyn M.; Berger J., Dutykh D., Mendes N., On the optimal experiment design for heat and moisture parameter estimation, Exp. Therm. Fluid Sci., 81, pp. 109-122, (2017); Fujii T., Imura H., Natural-convection heat transfer from a plate with arbitrary inclination, Int. J. Heat Mass Tran., 15, 4, pp. 755-767, (1972); Kwiatkowski J., Woloszyn M., Roux J.-J., Modelling of hysteresis influence on mass transfer in building materials, Build. Environ., 44, 3, pp. 633-642, (2009); Rode C., Hansen K.K., Hysteresis and temperature dependency of moisture sorption–new measurements, 9th Nordic Symposium on Building Physics, pp. 647-654, (2011); D. Lelievre T., Glouannec P., Hygrothermal behavior of bio-based building materials including hysteresis effects: experimental and numerical analyses, Energy Build., 84, pp. 617-627, (2014); Colinart T., Lelievre D., Glouannec P., Experimental and numerical analysis of the transient hygrothermal behavior of multilayered hemp concrete wall, Energy Build., 112, pp. 1-11, (2016); Berger J., Busser T., Dutykh D., Mendes N.; Hameury S., The Hygrothermal Inertia of Massive Timber Connstructions, (2006); Liu M., Zhu Y., Park B., Claridge D.E., Feary D.K., Airflow reduction to improve building comfort and reduce building energy consumption–a case study, Build. Eng., 105, (1999); Kalamees T., Korpi M., Vinha J., Kurnitski J., The effects of ventilation systems and building fabric on the stability of indoor temperature and humidity in Finnish detached houses, Build. Environ., 44, 8, pp. 1643-1650, (2009); Simonson C.J., Salonvaara M., Ojanen T., 110, 2; Osanyintola O.F., Simonson C.J., Moisture buffering capacity of hygroscopic building materials: experimental facilities and energy impact, Energy Build., 38, 10, pp. 1270-1282, (2006)</t>
  </si>
  <si>
    <t>2-s2.0-85057743660</t>
  </si>
  <si>
    <t>Tesfamariam K.B.; Lin C.-X.; Liu F.</t>
  </si>
  <si>
    <t>Numerical simulation of heat, air, and moisture transfer through a wall of porous media</t>
  </si>
  <si>
    <t>ASME 2020 Heat Transfer Summer Conference, HT 2020, collocated with the ASME 2020 Fluids Engineering Division Summer Meeting and the ASME 2020 18th International Conference on Nanochannels, Microchannels, and Minichannels</t>
  </si>
  <si>
    <t>v001t04a007</t>
  </si>
  <si>
    <t>10.1115/HT2020-9121</t>
  </si>
  <si>
    <t>https://www.scopus.com/inward/record.uri?eid=2-s2.0-85092650992&amp;doi=10.1115%2fHT2020-9121&amp;partnerID=40&amp;md5=f73ed6836c29f3e077b7ce38a05a089d</t>
  </si>
  <si>
    <t>This paper presents the results of two-dimensional (2D) numerical simulation of heat, air, and moisture transfer through porous walls, which have important application background in the built environment and other engineering fields. The air flows, heat and moisture transfer in the walls are studied using a transient heat, air, and moisture (HAM) model. This model treats the non-isothermal airflow through two-dimensional porous geometries in a time-dependent format. The model includes the Brinkman equation describes the flow of air and other mathematical equations that calculate the heat and moisture transfer through the porous region. The equations are solved by a finite element method (FEM) using physics-based modeling, which is implemented in the commercial simulation software, COMSOL Multiphysics. The model prediction is first validated by using published benchmark solutions. Eventually, the numerical results are presented to illustrate the complex effects of material porosity and permeability on the heat and moisture transport, and moisture content variation in space and time through the walls, at different humidity and temperature conditions. Within the investigated parameter ranges, it is demonstrated that the relative humidity and temperature difference are the driving forces for the transient heat, air, and moisture transport processes through the porous area in the porous walls. © 2020 ASME</t>
  </si>
  <si>
    <t>Airflow; HAM model; Heat and moisture transfer; Numerical simulation; Porous media</t>
  </si>
  <si>
    <t>Computer software; Heat transfer; Microchannels; Moisture control; Numerical models; Porous materials; Heat , air , and moistures; Heat and moisture transfer; Heat and moisture transports; Humidity and temperatures; Mathematical equations; Physics-based modeling; Relative humidity and temperatures; Two-dimensional (2-D) numerical simulation; Walls (structural partitions)</t>
  </si>
  <si>
    <t>Philip J, Vries D.A, Moisture movement in porous material under temperature gradients, Trans. Am. Geophys Union, 38, pp. 222-232, (1957); De Vries D. A., Simultaneous transfer of heat and moisture in porous media, Trans. Amer. Geophys. Union, 39, pp. 909-916, (1958); De Vries D. A., The theory of heat and moisture transfer in porous media revisited, International Journal of Heat and Mass" Transfer, 30, pp. 1343-1350, (1987); Zirkelbach Daniel, Hartwing M, Schafaczek Kunzel, Dampfkonvektion wird berechenbar- Instationares Modell Zur Berucksichtigung von Konvektivem, Feuchteeintrag bei der Simulation von Leichtbaukonstruktionen, 4th International Symposium on Building and Ductwork Airtightness and 30th AIVC conference, pp. 1-8, (2009); Silberstein Anne, Langlais Catherine, Arquis Eric, Natural convection in light fibrous insulating materials with permeable interface: onset criteria and its effect on the thermal performances of the product, J. Build. Phys, 14, 1, pp. 22-24, (1990); Tariku Fitsum, Kumaran Kumar, Fazio paul, Transient model for couple heat, air and moisture transfer through multilayer porous media, int, J. Heat Mass Transfer, 53, 15-16, pp. 3035-3044, (2010); Li Qinru, Rao Jiwu, Fazio Paul, Development of HAM tool for building envelope analysis, Build Environ, 44, 5, pp. 1065-1075, (2009); Haupl P., Grunewald J., Fechner H., Stop H., Coupled heat air and moisture transfer in building structures, lnt. J. Heat Mass Transfer, 40, pp. 1633-1642, (1997); dos Santos Gerson Henrique, Mendes Nathan, Hear, air, and moisture transfer through hollow porous blocks, Int.J. Heat Mass Transfer, 52, 9-10, pp. 2390-2398, (2009); Hens Hugo, Building Physics-Heat, Air, and Moisture: Fundaments and Engineering methods with Examples and Exercises, (2012); Hagentoft C.-E., Kalagasidis A.S., Adl-Zarrabi B., Roels S., Carmeliet J., Hens H., Grunewald J., Funk M., Becker R., Shamir D., Adan O., for combined heat, air and moisture transfer in building components: benchmarks for one-dimensional cases, Journal of Thermal Envelope and building, 27, 4, pp. 327-352, (2004); Nield Donald A., Bejan Adrian, Convection in porous Media, (2006); (2014); Hagentoft Carl-Eric, HAMSTAD - Final report: Methodology of HAM-Modeling, (2002); Hagentoft Carl-Eric, HAMSTAD - WP2 Modeling, (2002)</t>
  </si>
  <si>
    <t>2-s2.0-85092650992</t>
  </si>
  <si>
    <t>Laukkarinen A.; Jokela T.; Moisio T.; Vinha J.</t>
  </si>
  <si>
    <t>Hygrothermal simulations of timber-framed walls with air leakages</t>
  </si>
  <si>
    <t>012094</t>
  </si>
  <si>
    <t>10.1088/1742-6596/2069/1/012094</t>
  </si>
  <si>
    <t>https://www.scopus.com/inward/record.uri?eid=2-s2.0-85121448930&amp;doi=10.1088%2f1742-6596%2f2069%2f1%2f012094&amp;partnerID=40&amp;md5=77b1d20f85a28f3d8e9b80b47ba11404</t>
  </si>
  <si>
    <t>Air leakages can create substantial excess moisture loads into envelope structures and degrade their hygrothermal performance. Multiple previous research projects have studied the behaviour and modelling of air leakages in building physics applications, but it is still quite rare to see air leakages being considered in practical building design simulations. The purpose of this paper is to present the selection of input parameters for air leakage simulations, utilisation of a factorial design to manage simulation cases and the results for a timber-frame wall with and without air leakages. According to the results, the air permeability of mineral wool and the air pressure difference over the envelope were the two most important factors for the dry air mass flow through the structure, as opposed to gap width and leakage route. An ideally airtight structure had a better hygrothermal performance compared to leaky structure. However, when leakages were present, the exact yearly average air flow rate in the range 70…420 dm3/(m2h) did not have a strong correlation to the performance indicators. For the other studied variables, the existence of a 50 mm thick mineral wool insulation on the exterior side of the gypsum board wind barrier and the impacts from climate change had the biggest effect on the moisture performance of the structure. © 2021 Institute of Physics Publishing. All rights reserved.</t>
  </si>
  <si>
    <t>Air permeability; Architectural design; Climate change; Mineral wool; Moisture; Structural design; Walls (structural partitions); Wool; Yarn; %moisture; Air leakage; Building design; Building physics; Design simulations; Envelope structures; Hygrothermal performance; Hygrothermal simulation; In-buildings; Input parameter; Timber</t>
  </si>
  <si>
    <t>Simulation program for the calculation of coupled heat, air, moisture, pollutant and salt transport, (2021); Building component simulations (WUFI Pro and WUFI 2D), (2021); Simulation of Heat and Moisture Transfer, (2014); Criteria for Moisture-Control Design Analysis in Buildings, (2016); ASHRAE Fundamentals, (2017); Acoustics. Determination of airflow resistance. Part 1: Static airflow method; Nield D, Bejan A, Convection in Porous Media, (2017); Hygrothermal performance of building components and building elements. Assessment of moisture transfer by numerical simulation, (2007); Ojanen T, Simonson C, Convective moisture accumulation in structures with additional inside insulation, (1992); Janssens A, Hens H, Interstitial Condensation Due to Air Leakage: A Sensitivity Analysis, J. of Thermal Env. &amp; Bldg. Sci, 27, 1, pp. 15-29, (2003); Kalamees T, Kurnitski J, Moisture Convection Performance of External Walls and Roofs, J Build Phys, 33, 3, pp. 225-247, (2010); Kosinski P, Brzyski P, Suchorab S, Lagod G, Heat Losses Caused by the Temporary Influence of Wind in Timber Frame Walls Insulated with Fibrous Materials, Materials, 13, 23, (2020); Kolsch P, Zirkelbach D, Nusser B, Wagner R, Zegowitz A, Kunzel H, Airflow through Lightweight Wall Assemblies - Influence of Size and Location of Leakages, Buildings XIII Conference, pp. 459-484, (2016); Bednar T, Deseyve C, Jung M, Nusser B, Teibinger M, Impact of Airflow on the Risk Assessment of Flat Roofs, IAQVEC 2010, (2010); Jokela T, Hygrothermal Performance of Timber-Framed External Walls with Gypsum Board Sheathing, (2018); Moisio T, Hygrothermal performance of timber-framed external wall junctions, (2020); Hurel N, Pailha M, Garnier G, Woloszyn M, Impact of different construction details on air permeability of timber frame wall assemblies: Some experimental evidence from a three-scale laboratory study, J Build Phys, 41, 2, pp. 162-189, (2017); Weatherboard. Product data sheet, (2014); Vinha J, Laukkarinen A, Makitalo M, Nurmi S, Huttunen P, Pakkanen T, Kero P, Manelius E, Lahdensivu J, Kolio A, Lahdesmaki K, Piironen J, Kuhno V, Pirinen M, Aaltonen A, Suonketo J, (2013); Ruosteenoja K, Jylha K, Makela H, Hyvonen R, Pirinen P, Lehtonen I, (2013); Hygrothermal performance of buildings - Calculation and presentation of climatic data - Part 3: Calculation of a driving rain index for vertical surfaces from hourly wind and rain data, (2009); SFS-EN 1991-1-4 + AC + A1 2011 Eurocode 1: Actions on structures. Part 1-4: General actions</t>
  </si>
  <si>
    <t>2-s2.0-85121448930</t>
  </si>
  <si>
    <t>Zhao J.; Feng S.; Grunewald J.; Meissner F.; Wang J.</t>
  </si>
  <si>
    <t>Drying characteristics of two capillary porous building materials: Calcium silicate and ceramic brick</t>
  </si>
  <si>
    <t>216</t>
  </si>
  <si>
    <t>109006</t>
  </si>
  <si>
    <t>10.1016/j.buildenv.2022.109006</t>
  </si>
  <si>
    <t>https://www.scopus.com/inward/record.uri?eid=2-s2.0-85127341816&amp;doi=10.1016%2fj.buildenv.2022.109006&amp;partnerID=40&amp;md5=0860c5618d2d48579f8d15003e067afd</t>
  </si>
  <si>
    <t>The wetting and drying ability of porous building materials plays a significant role in moisture transfer in the building envelope and thus influences the durability and energy efficiency of buildings. The drying characteristics of the material provide insight into the moisture transport feature over a wide moisture content range, and hence, the drying process can assist in improving the accuracy of moisture transport modelling for the heat, air and moisture (HAM) simulation and in comprehending the hygric behavior of buildings responding to environmental change. In this paper, the drying behaviors of calcium silicate and ceramic brick were experimentally and numerically investigated. The approaches to determine the drying rates of the first and second drying durations were first evaluated and proposed. The influence of the surface air flow velocity and sample dimension on the drying process was analyzed. The descriptive parameters to assess the drying rate were further discussed. The drying coefficient was shown to be able to describe the drying ability of porous building materials. Numerical simulation was conducted and compared with the measurement for a better understanding of the coupled heat and moisture transfer phenomena during the drying process. © 2022 Elsevier Ltd</t>
  </si>
  <si>
    <t>Capillary porous building material; Coupled heat and moisture transfer; Drying characteristics; Drying rate</t>
  </si>
  <si>
    <t>Air; Brick; Buildings; Calcium silicate; Energy efficiency; Flow velocity; Silicates; Capillary porous building material; Ceramic bricks; Coupled heat and moisture transfer; Drying characteristics; Drying process; Drying rates; Moisture transfer; Moisture transport; Porous building material; WETTING AND DRYING; ceramics; construction material; durability; energy efficiency; flow velocity; heat transfer; moisture transfer; porous medium; silicate; wetting-drying cycle; Drying</t>
  </si>
  <si>
    <t>Sedlbauer K., Prediction of Mould Fungus Formation on the Surface of and inside Building Component, (2001); Straube J.F., Schumacher C.J., Interior insulation retrofit of load-bearing masonry walls in cold climates, J. Green Build., 2, 2, pp. 42-50, (2007); Jerman M., Cerny R., Effect of moisture content on heat and moisture transport and storage properties of thermal insulation materials, Energy Build., 53, pp. 39-46, (2012); Berger J., Guernouti S., Woloszyn M., Buhe C., Factors governing the development of moisture disorders for integration into building performance simulation, J. Build. Eng., 3, pp. 1-15, (2015); Harrestrup M., Svendsen S., Full-scale test of an old heritage multi-storey building undergoing energy retrofitting with focus on internal insulation and moisture, Build. Environ., 85, pp. 123-133, (2015); Zhao J., Grunewald J., Ruisinger U., Feng S., Evaluation of capillary-active mineral insulation systems for interior retrofit solution, Build. Environ., 115, pp. 215-227, (2017); Jerman M., Palomar I., Koci V., Cerny R., Thermal and hygric properties of biomaterials suitable for interior thermal insulation systems in historical and traditional buildings, Build. Environ., 154, pp. 81-88, (2019); Vereecken E., Van Gelder L., Janssen H., Roels S., Interior insulation for wall retrofitting - a probabilistic analysis of energy savings and hygrothermal risks, Energy Build., 89, pp. 231-244, (2015); Finken G.R., Bjarlov S.P., Peuhkuri R.H., Effect of facade impregnation on feasibility of capillary active thermal internal insulation for a historic dormitory - a hygrothermal simulation study, Construct. Build. Mater., 113, pp. 202-214, (2016); Alev U., Kalamees T., Avoiding mould growth in an interiorly insulated log wall, Build. Environ., 105, pp. 104-115, (2016); Odgaard T., Bjarlov S.P., Rode C., Interior insulation - experimental investigation of hygrothermal conditions and damage evaluation of solid masonry façades in a listed building, Build. Environ., 129, pp. 1-14, (2018); Feng C., Janssen H., (2021); ISO 12571, Hygrothermal Performance of Building Materials and Products - Determination of Hygroscopic Sorption Properties, (2013); ISO 11274, Soil Quality - Determination of the Water-Retention Characteristic -Laboratory Methods, (2019); ISO 12572, Hygrothermal Performance of Building Materials and Products - Determination of Water Vapour Transmission Properties - Cup Method, (2016); ISO 15148, Hygrothermal Performance of Building Materials and Products - Determination of Water Absorption Coefficient by Partial Immersion, (2002); RILEM TC 25-PEM, Recommended tests to measure the deterioration of stone and to assess the effectiveness of treatment methods, Test No. II. 5-Evaporation curve, Mater. Struct., 13, pp. 204-207, (1980); EN 16322, Conservation of Cultural Heritage - Test Methods - Determination of Drying Properties, (2013); Mujumdar A.S., Drying technology in agriculture and food science, Dry. Technol., 19, 6, pp. 1217-1218, (2001); Abascal K., Ganora L., Yarnell E., The effect of freeze-drying and its implications for botanical medicine: a review, Phytother. Res. Ptr., 19, 8, pp. 655-660, (2010); Karagiannis N., Karoglou M., Bakolas A., Krokida M., Moropoulou A., Drying kinetics of building materials capillary moisture, Construct. Build. Mater., 137, pp. 441-449, (2017); Ben Nasrallah S., Perre P., Detailed study of a model of heat and mass transfer during convective drying of porous media, Int. J. Heat Mass Tran., 31, 5, pp. 957-967, (1988); Murugesan K., Seetharamu K.N., Narayana P.A.A., A one dimensional analysis of convective drying of porous materials, Heat Mass Tran., 32, pp. 81-88, (1996); Dietl C., Winter E.R.F., Viskanta R., An efficient simulation of the heat and mass transfer process during drying of capillary porous, hygroscopic materials, Int. J. Heat Mass Tran., 41, pp. 3611-3625, (1998); Janettia M.B., Colombo L.P.M., Ochs F., Feist W., Effect of evaporation cooling on drying capillary active building materials, Energy Build., 166, pp. 550-560, (2018); Van Belleghem M., Steeman M., Janssens A., De Paepea M., Drying behaviour of calcium silicate, Construct. Build. Mater., 65, pp. 507-517, (2014); Kaya A., Aydin O., Dincer I., Numerical modeling of heat and mass transfer during forced convection drying of rectangular moist objects, Int. J. Heat Mass Tran., 49, 17-18, pp. 3094-3103, (2006); Defraeye T., Blocken B., Carmeliet J., Analysis of convective heat and mass transfer coefficients for convective drying of a porous flat plate by conjugate modelling, Int. J. Heat Mass Tran., 55, 1-3, pp. 112-124, (2012); Matiasovsky P., Mihalka P., Pore structure parameters and drying rates of building materials, Drying and Wetting of Building Materials and Components. Building Pathology and Rehabilitation, 4, (2014); Sander A., Kardum J.P., Skansi D., Transport Properties in Drying Solids, Poster Session on Drying, 14th International Congress of Chemical and Process Engineering, (2000); Barreira E., Delgado J.M.P.Q., de Freitas V.P., Wetting and Drying Kinetics of Building Materials, Drying and Wetting of Building Materials and Components, (2014); Krus M., Lenz K., Plagge R., Scheffler G.; Scheffler G.A., Plagge R., (2010); Landman K.A., Pel L., Kaasschieter E.F., Analytic modelling of drying of porous materials, Math. Eng. Ind., 8, 2, pp. 89-122, (2001); Zhao J., Plagge R., Characterization of hygrothermal properties of sandstones - impact of anisotropy on their thermal and moisture behaviors, Energy Build., 107, pp. 479-494, (2015); Nicolai A.J., (2015); American Society of Heating, (2009); Building Components and Building Elements-Thermal Resistance and Thermal Transmittance-Calculation Methods, (2017); Worch A., The behaviour of vapour transfer on building material surfaces: the vapour transfer resistance, J. Therm. Envelope Build. Sci., 28, 2, pp. 187-200, (2004)</t>
  </si>
  <si>
    <t>2-s2.0-85127341816</t>
  </si>
  <si>
    <t>16</t>
  </si>
  <si>
    <t>Viljanen K.; Puttonen J.; Lü X.</t>
  </si>
  <si>
    <t>Hygrothermal performance of highly insulated external walls subjected to indoor air exfiltration</t>
  </si>
  <si>
    <t>Journal of Building Physics</t>
  </si>
  <si>
    <t>46</t>
  </si>
  <si>
    <t>10.1177/17442591221109956</t>
  </si>
  <si>
    <t>https://www.scopus.com/inward/record.uri?eid=2-s2.0-85135847353&amp;doi=10.1177%2f17442591221109956&amp;partnerID=40&amp;md5=11f523f8d033ff89f7b137dbc1223e50</t>
  </si>
  <si>
    <t>The study comprises three laboratory tests in which typical Finnish highly insulated (HI) walls were exposed to concentrated leakages of indoor air under steady outdoor temperatures of 1–5°C. Airflows with a relative humidity of 50% and at rates of 1–3 L/min were directed close to the wooden frames inside the walls. The thermal resistance ratios between the exterior sheathing(s) and the whole wall (Γ) were 20%–22% and 1%–10% for the HI and baseline (BL) walls. The HI walls that presented Γ values of at least 20% were observed to be resistant to air exfiltration, and their durability was not affected by the addition of a gypsum sheathing outside the wooden frame or a more permeable vapor retarder. This is related to the negative linear correlation that exists between the moisture accumulation rate in wood-based material and the dew point depression (DPD) value. The developed approach, called the DPD method, shows that a significant degree of moisture accumulation does not occur even for DPD values of as low as −2°C if the exterior sheathing is vapor permeable. The airflow does not penetrate into the rigid mineral wool sheathing, which helps to avoid interstitial condensation. Regardless of thermal transmittance, the HI and BL walls with maximum Γ values of 1% were exposed to a high relative humidity and even interstitial condensation because the DPD values were often below −2°C. For these walls, the mold index analysis and visual observations confirmed the local risk for mold growth on the opposite side of the leakage point. In practice, long-term mold growth may be limited if the seasonal periods during which the outdoor temperature is 1–5°C last for a maximum of about 1 month every year. © The Author(s) 2022.</t>
  </si>
  <si>
    <t>air leakage; dew point; Exfiltration; highly insulated; moisture convection; mold growth risk</t>
  </si>
  <si>
    <t>Atmospheric temperature; Mineral wool; Moisture; Molds; Risk assessment; Space heating; %moisture; Air leakage; Dew point depression; Dewpoint; Exfiltration; Highly insulated; Indoor air; Moisture convection; Mold growth risk; Mould growth; Condensation</t>
  </si>
  <si>
    <t>The structural behavior of a very energy efficient nursery and the impacts to the indoor air quality experienced by the users (In Finnish), Sisäilmastoseminaari 2017, pp. 189-192, (2017); Criteria for Moisture-Control Design Analysis in Buildings: ASHRAE Standard 160-2016, (2016); ASHRAE Handbook: Fundamentals, (2017); Belleudy C., Kayello A., Woloszyn M., ) A heat-airflow model for simulating the effects of air leakage on the temperature field in porous insulation, In: 10Th Nordic Symposium on Building Physics, pp. 79-86, (2014); Bjorkholz D., Heat and Moisture: Building Physics (in Finnish), (1997); Bouma R.H.B., Wj N., Arnauts J.E.F., Et al., Foam stability related to polymer permeability. I. Low molecular weight additives, Journal of Applied Polymer Science, 65, pp. 2679-2689, (1997); Brischke C., Thelandersson S., Modelling the outdoor performance of wood products – A review on existing approaches, Construction and Building Materials, 66, pp. 384-397, (2014); Derome D., Moisture accumulation in cellulose insulation caused by air leakage in flat wood frame roofs, Journal of Thermal Envelope and Building Science, 28, 3, pp. 269-287, (2005); Derome D., Desmarais G., Exposure to condensation moisture of sheathing in retrofitted leaky wall assemblies, Journal of Architectural Engineering, 12, 2, pp. 72-82, (2006); Desmarais G., Derome D., Fazio P., Mapping of air leakage in exterior wall assemblies, Journal of Building Physics, 24, 2, pp. 132-154, (2000); Technical manual – Walls and floors, (2021); Fedorik F., Alitalo S., Savolainen J.-P., Et al., Analysis of hygrothermal performance of low-energy house in Nordic climate, Journal of Building Physics, 45, 3, pp. 344-367, (2021); Ferrantelli A., Vornanen-Winqvist C., Mattila M., Et al., Positive pressure effect on moisture performance in a school building, Journal of Building Physics, 43, 2, pp. 121-142, (2019); Water and Moisture Proofing Instructions for Buildings, RIL 107-2012 (in Finnish), (2012); Download of observations (in Finnish), (2019); Heating degree day (in Finnish), (2021); Download of observations (in Finnish), (2021); Finnish building order collection. Part C4 thermal insulation, (2002); Hygrothermal performance of building components and building elements, (2013); Forest T.W., Moisture transfer through walls, pp. 532-542, (1989); Fox M.J., Hygrothermal performance of highly insulated wood frame walls with air leakage: Field measurements and simulations, (2014); Ge H., Straube J., Wang L., Et al., Field study of hygrothermal performance of highly insulated wood-frame walls under simulated air leakage, Building and Environment, 160, (2019); Gradeci K., Berardi U., Time B., Et al., Evaluating highly insulated walls to withstand biodeterioration: A probabilistic-based methodology, Energy and Buildings, 177, pp. 112-124, (2018); Gradeci K., Labonnote N., Time B., Et al., Mould growth criteria and design avoidance approaches in wood-based materials – A systematic review, Construction and Building Materials, 150, pp. 77-88, (2017); Gullbrekken L., Geving S., Time B., Et al., Moisture conditions in well-insulated wood-frame walls: Simulations, laboratory measurements and field measurements, Wood Material Science and Engineering, 10, 3, pp. 232-244, (2015); Hagentoft C.E., Introduction to Building Physics, (2001); Hens H., Applied Building Physics: Ambient Conditions, Building Performance and Material Properties, (2016); Hens H.L.S., Combined heat, air, moisture modelling: A look back, how, of help?, Building and Environment, 91, pp. 138-151, (2015); Hukka A., Viitanen H.A., A mathematical model of mould growth on wooden material, Wood Science and Technology, 33, 6, pp. 475-485, (1999); Hyvarinen A., Meklin T., Vepsalainen A., Et al., Fungi and actinobacteria in moisture-damaged building materials—Concentrations and diversity, International Biodeterioration &amp; Biodegradation, 49, pp. 27-37, (2002); Kalamees T., Air tightness and air leakages of new lightweight single-family detached houses in Estonia, Building and Environment, 42, 6, pp. 2369-2377, (2007); Kalamees T., Alev Parnalaas M., Air leakage levels in timber frame building envelope joints, Building and Environment, 116, pp. 121-129, (2017); Kalamees T., Kurnitski J., Moisture convection performance of external walls and roofs, Journal of Building Physics, 33, 3, pp. 225-247, (2010); Kalamees T., Vinha J., Kurnitski J., Indoor humidity loads and moisture production in lightweight timber-frame detached houses, Journal of Building Physics, 29, 3, pp. 219-246, (2006); Klamer M., Morsing E., Husemoen T., Fungal growth on different insulation materials exposed to different moisture regimes, International Biodeterioration &amp; Biodegradation, 54, pp. 277-282, (2004); Lahdesmaki K., Vinha J., Viitanen H., Development of an improved model for mould growth: Laboratory and field experiments, In: Proceedings of the 8Th Symposium on Building Physics in the Nordic Countries, pp. 935-942, (2008); Lam P., Effect of air leakage on moisture deposition in walls, (1996); Langmans J., Klein R., Roels S., Hygrothermal risks of using exterior air barrier systems for highly insulated light weight walls: A laboratory investigation, Building and Environment, 56, pp. 192-202, (2012); Lee I., Roppel P., Lawton M., Et al., Design limits for framed wall assemblies dependent on material choices for sheathing membranes and exterior insulation, International Journal of Building Pathology and Adaptation, 37, 4, pp. 426-447, (2019); Lehtinen T., Lehtonen H., The development of the design methods of building physics: A moisture technical design method of wood framed external walls (in Finnish), (1997); Li H., Salonvaara M., Zhang J.S., Characterizing and modeling leakage airflows through building envelopes and its effect on heat and moisture transport, Proceedings of the 12Th Symposium for Building Physics, pp. 29-31, (2007); Nelson T.B., Moisture safety in highly insulated wood-frame wall constructions, (2017); Ojanen T., Hyvarinen J., Statement on the effects of improving energy efficiency of structures on the hygric behaviour of structures (in Finnish), (2008); Ojanen T., Kohonen R., The impact of airflows on the hygrothermal performance of structures (in Finnish), (1989); Ojanen T., Kumaran M.K., Effect of exfiltration on the hygrothermal behavior of a residential wall assembly: Results from calculations and computer simulations, pp. 157-167, (1995); Ojanen T., Simonson C., Convective moisture accumulation in structures with additional inside insulation, pp. 745-752, (1995); Stone wool handling and installation instructions (in Finnish), (2019); Pihelo P., Kikkas H., Kalamees T., Hygrothermal performance of highly insulated timber-frame external wall, Energy Procedia, 96, pp. 685-695, (2016); Radon J., Was K., Flaga-Maryanczyk A., Et al., Experimental and theoretical study on hygrothermal long-term performance of outer assemblies in lightweight passive house, Journal of Building Physics, 41, 4, pp. 299-320, (2018); Robinson C.H., Cold adaptation in Arctic and Antarctic fungi, New Phytologist, 151, pp. 341-353, (2001); Installation of light insulation (in Finnish), (2015); Installation guide for ISOVER insulation (in Finnish), (2021); Material moisture gigamodule, (2021); SoftFOX – Software, (2021); Schoen C., A new empirical model of the temperature–humidity index, Journal of Applied Meteorology, 44, 9, pp. 1413-1420, (2005); Sedlbauer K., Prediction of mould fungus formation on the surface and inside building components, (2001); Tanaka T., Kawai Y., Sadanari M., Et al., Air permeability of sugi (Cryptomeria japonica) wood in the three directions, Maderas: Ciencia y Tecnología, 17, 1, pp. 17-28, (2015); Tenwolde A., Carll C., Malinauskas V., (1995); Trainor T., The hygrothermal performance of exterior insulated wall systems, (2014); Trainor T., Smegal J., Straube J., Et al., Measured and predicted moisture performance of high-R wall assemblies in cold climates, pp. 504-514, (2016); Tuominen E., Ruusala A., Laukkarinen A., (2019); Vesper S., McKinstry C., Haugland R., Et al., Development of an environmental relative moldiness index for US homes, Journal of Occupational and Environmental Medicine, 49, 8, pp. 829-833, (2007); Viitanen H., Ritschkoff A., Mould Growth in Pine and Spruce Sapwood in Relation to Air Humidity and Temperature, (1991); Viitanen H., Vinha J., Peuhkuri R., Development of an improved model for mould growth: Modelling, Proceedings of the 8Th Symposium on Building Physics in the Nordic Countries (Ed Rode C), pp. 927-934, (2008); Viljanen K., Lu X., An experimental study on the drying-out ability of highly insulated wall structures with built-in moisture and rain leakage, Applied Sciences, 9, 6, (2019); Viljanen K., Lu X., Puttonen J., Factors affecting the performance of ventilation cavities in highly insulated assemblies, Journal of Building Physics, 45, 1, pp. 67-110, (2021); Vinha J., Laukkarinen A., Makitalo M., Et al., Effects of climate change and increased thermal insulation on the hygric performance of envelope structures and energy consumption of buildings (in Finnish), (2013); Vololonirina O., Coutand M., Perrin B., Characterization of hygrothermal properties of wood-based products – Impact of moisture content and temperature, Construction and Building Materials, 63, pp. 223-233, (2014); Wang L., Ge H., Effect of air leakage on the hygrothermal performance of highly insulated wood frame walls: Comparison of air leakage modelling methods, Building and Environment, 123, pp. 363-377, (2017); Wolkoff P., Indoor air humidity, air quality, and health – An overview, International Journal of Hygiene and Environmental Health, 221, pp. 376-390, (2018)</t>
  </si>
  <si>
    <t>2-s2.0-85135847353</t>
  </si>
  <si>
    <t>36</t>
  </si>
  <si>
    <t>Sebbar E.H.; Khattari Y.; Chaibi Y.; El Rhafiki T.</t>
  </si>
  <si>
    <t>Improvement of the hygrothermal efficiency numerically using CFD modeling in a full-scale ventilated room with Moroccan climates</t>
  </si>
  <si>
    <t>Scientific African</t>
  </si>
  <si>
    <t>26</t>
  </si>
  <si>
    <t>e02408</t>
  </si>
  <si>
    <t>10.1016/j.sciaf.2024.e02408</t>
  </si>
  <si>
    <t>https://www.scopus.com/inward/record.uri?eid=2-s2.0-85204804995&amp;doi=10.1016%2fj.sciaf.2024.e02408&amp;partnerID=40&amp;md5=d1438a6d4f3a504d2ae207a6b3fbc5a8</t>
  </si>
  <si>
    <t>The objective of this work is to examine the humidity and the heat transfer distribution in a full scale aerated room in a steady and turbulent flow regime under winter conditions and for six different Moroccan climate types. To assimilate winter conditions, the floor is considered as a heating source and is stabilized at a high temperature (TH), on the other hand, all other walls are subjected to convection heat transfer mode with an external temperature as a function of the climatic region and a surface transmission coefficient required by the Moroccan Agency of Energy Efficiency (AMEE). Four configurations are treated basing on the outlet and inlet openings position on the vertical walls for introducing and extracting air. Computational fluid dynamics was used to resolve the physical processes numerically. The developed physical model was validated on the basis of humidity and temperature distribution of the indoor environment. The primary objective of this study is to analyze the impact of ventilation on the distribution of humidity and temperature, and to seek the best configuration (size and position of entry/exit openings) that provides thermal comfort, as well as the impact of the thermal requirements imposed by the AMEE on residential thermal comfort in the studied Moroccan climatic zones. This work has allowed to find the optimal ventilation configuration during the winter season by analyzing several comfort indicators in the room. © 2024 The Authors</t>
  </si>
  <si>
    <t>Humidity modeling; Mixed convection; Numerical modeling and simulation; Thermal comfort; Ventilation efficiency</t>
  </si>
  <si>
    <t>(2015); Fallahi Z., Plewe K., Smith A.D., Energy-related emissions from commercial buildings: comparing methods for quantifying temporal indirect emissions associated with electricity purchases, Sustain. Energy Technol. Assess., 30, pp. 150-163, (2018); Nasruddin S., Satrio P., Mahlia T.M.I., Giannetti N., Saito K., Optimization of HVAC system energy consumption in a building using artificial neural network and multi-objective genetic algorithm, Sustain. Energy Technol. Assess., 35, pp. 48-57, (2019); Deng Q.-H., Zhou J., Mei C., Shen Y.-M., Fluid, heat and contaminant transport structures of laminar double-diffusive mixed convection in a two-dimensional ventilated enclosure, Int. J. Heat Mass Transf., 47, pp. 5257-5269, (2004); Sher F., Kawai A., Gulec F., Sadiq H., Sustainable energy saving alternatives in small buildings, Sustain. Energy Technol. Assess., 32, pp. 92-99, (2019); Op't Veld P., Introduction to EC RESHYVENT–EU cluster project on demand controlled hybrid ventilation for residential buildings, Build. Environ., 43, pp. 1342-1349, (2008); Lomas K.J., Ji Y., Resilience of naturally ventilated buildings to climate change: advanced natural ventilation and hospital wards, Energy Build., 41, pp. 629-653, (2009); Cuce E., Sher F., Sadiq H., Cuce P.M., Guclu T., Besir A.B., Sustainable ventilation strategies in buildings: CFD research, Sustain, Energy Technol. Assess, 36, (2019); Tong Y., Huo D., Zhu P., Niu X., Prediction of natural and hybrid ventilation performance used for fire-induced smoke control in a large single space, Fire Saf. J., 100, pp. 20-31, (2018); Serageldin A.A., Abdelrahman A.K., Ookawara S., Parametric study and optimization of a solar chimney passive ventilation system coupled with an earth-to-air heat exchanger, Sustain. Energy Technol. Assess., 30, pp. 263-278, (2018); Yuce B.E., Pulat E., Forced, natural and mixed convection benchmark studies for indoor thermal environments, Int. Commun. Heat Mass Transf., 92, pp. 1-14, (2018); Raji A., Hasnaoui M., Mixed convection heat transfert in a rectangular cavity ventilated and heated from the side, Numer. Heat Transf. Part Appl., 33, pp. 533-548, (1998); Raji A., Hasnaoui M., Mixed convection heat transfer in ventilated cavities with opposing and assisting flows, Eng. Comput., 17, pp. 556-572, (2000); Raji A., Hasnaoui M., Combined mixed convection and radiation in ventilated cavities, Eng. Comput., 18, pp. 922-949, (2001); Belmonte J.F., Barbosa R., Almeida M.G., CO2 concentrations in a multifamily building in Porto, Portugal: occupants’ exposure and differential performance of mechanical ventilation control strategies, J. Build. Eng., 23, pp. 114-126, (2019); Heracleous C., Michael A., Experimental assessment of the impact of natural ventilation on indoor air quality and thermal comfort conditions of educational buildings in the Eastern Mediterranean region during the heating period, J. Build. Eng., (2019); Nosonov I.I., Sheremet M.A., Conjugate mixed convection in a rectangular cavity with a local heater, Int. J. Mech. Sci., 136, pp. 243-251, (2018); Burgos J., Cuesta I., Saluena C., Numerical study of laminar mixed convection in a square open cavity, Int. J. Heat Mass Transf., 99, pp. 599-612, (2016); Abdelmassih G., Vernet A., Pallares J., Steady and unsteady mixed convection flow in a cubical open cavity with the bottom wall heated, Int. J. Heat Mass Transf., 101, pp. 682-691, (2016); Evola G., Gagliano A., Marletta L., Nocera F., Controlled mechanical ventilation systems in residential buildings: primary energy balances and financial issues, J. Build. Eng., 11, pp. 96-107, (2017); Simo-Tagne M., Ndukwu M.C., Rogaume Y., Modelling and numerical simulation of hygrothermal transfer through a building wall for locations subjected to outdoor conditions in Sub-Saharan Africa, J. Build. Eng., 26, (2019); Palmowska A., Lipska B., Research on improving thermal and humidity conditions in a ventilated ice rink arena using a validated CFD model, Int. J. Refrig., 86, pp. 373-387, (2018); Xu C., Li S., Zou K., Study of heat and moisture transfer in internal and external wall insulation configurations, J. Build. Eng., 24, (2019); Mortensen L.H., Woloszyn M., Rode C., Peuhkuri R., Investigation of Microclimate by CFD Modeling of Moisture Interactions between Air and Constructions, J. Build. Phys., 30, pp. 279-315, (2007); Aziz A.A., Sumiyoshi D., Akashi Y., Low cost humidity controlled air-conditioning system for building energy savings in tropical climate, J. Build. Eng., 11, pp. 9-16, (2017); Steeman H.-J., Van Belleghem M., Janssens A., De Paepe M., Coupled simulation of heat and moisture transport in air and porous materials for the assessment of moisture related damage, Build. Environ., 44, pp. 2176-2184, (2009); Manzan M., Saro O., Numerical analysis of heat and mass transfer in a passive building component cooled by water evaporation, Energy Build., 34, pp. 369-375, (2002); Zitek P., Vyhlidal T., Simeunovic G., Novakova L., Cizek J., Novel personalized and humidified air supply for airliner passengers, Build. Environ., 45, pp. 2345-2353, (2010); Khan M.N., Janajreh I., Transevaporative cooling performance of a three-sided wind catcher, Jordan J. Mech. Ind. Eng., 11, (2017); Both B., Szantho Z., Goda R., Draught comfort in a slot-ventilated room at various inlet aspect ratios, Energy Procedia, 112, pp. 352-359, (2017); Abarkan M., Kouider M.N., Modélisation et Analyse du comportement d'un Bâtiment équipé d'un Système multi Sources d’énergie, Physique, (2014); Koufi L., Younsi Z., Cherif Y., Naji H., Numerical investigation of turbulent mixed convection in an open cavity: effect of inlet and outlet openings, Int. J. Therm. Sci., 116, pp. 103-117, (2017); Blay D., Mergui S., Niculae C., Confined turbulent mixed convection in the presence of horizontal buoyant wall jet, Fundam. Mix. Convect. Heat Transf. Div., 213, pp. 65-72, (1992); Xaman J., Tun J., Alvarez G., Chavez Y., Noh F., Optimum ventilation based on the overall ventilation effectiveness for temperature distribution in ventilated cavities, Int. J. Therm. Sci., 48, pp. 1574-1585, (2009); Blazejczyk K., Epstein Y., Jendritzky G., Staiger H., Tinz B., Comparison of UTCI to selected thermal indices, Int. J. Biometeorol., 56, pp. 515-535, (2012); Thermal Comfort Conditions For Human Occupancy, (2010); Ergonomics of the Thermal Environment-Analytical Determination and Interpretation of Thermal Comfort Using Calculation of the PMV and PPD Indices and Local Thermal Comfort Criteria, (2005); Fanger P.O., Thermal comfort. Analysis and applications in environmental engineering, Therm. Comf. Anal. Appl. Environ. Eng., (1970); Olesen B., Scholer M., Fanger P., Discomfort caused by vertical air temperature differences, Indoor Clim., 36, pp. 561-578, (1979); Doormaal J.P.V., Raithby G.D., Enhancements of the simple method for predicting incompressible fluid flows, Numer. Heat Transf., 7, pp. 147-163, (1984); Zhao F.-Y., Liu D., Tang G.-F., Application issues of the streamline, heatline and massline for conjugate heat and mass transfer, Int. J. Heat Mass Transf., 50, pp. 320-334, (2007); Pu L., Li Y., Xiao F., Ma Z., Qi D., Shen S., Effects of different inlet vent positions on the uniformity of humidity inside a building chamber, Energy Build, 76, pp. 565-571, (2014)</t>
  </si>
  <si>
    <t>2-s2.0-85204804995</t>
  </si>
  <si>
    <t>Martin U.; Blanchet P.; Potvin A.</t>
  </si>
  <si>
    <t>Modeling the impact of assembly tolerances regarding air leaks on the energy efficiency and durability of a cross-laminated timber structure</t>
  </si>
  <si>
    <t>BioResources</t>
  </si>
  <si>
    <t>10.15376/biores.14.1.518-536</t>
  </si>
  <si>
    <t>https://www.scopus.com/inward/record.uri?eid=2-s2.0-85061339474&amp;doi=10.15376%2fbiores.14.1.518-536&amp;partnerID=40&amp;md5=f46ab17344e3d61c6081763a844dc07e</t>
  </si>
  <si>
    <t>Air leaks have a considerable impact on the energy load and durability of buildings, particularly in cold climates. In wood construction using cross-laminated timber (CLT), air leaks are most likely to be concentrated at the joints between panels and other elements. This study used simulations of heat, air, and moisture transfers through a gap between two CLT panels causing air leakage in winter conditions under a cold climate. A real leakage occurrence was sized to validate the simulations. The aim of this work was to assess the impact on the energy loads and the durability of an air leak, as either infiltration or exfiltration, for different gap widths and relative humidity levels. The results showed that infiltrations had a greater impact on the energy load than exfiltrations but did not pose a threat to the durability, as opposed to exfiltrations. Gap sizes in CLT may vary, but the effect on the energy load was sensitive to the leakage path in the rest of the wall. As expected, a combination of winter exfiltration and a high level of interior relative humidity was particularly detrimental. © 2019 North Carolina State University.</t>
  </si>
  <si>
    <t>Air leakage; Cross-Laminated Timber; Durability assessment; Energy efficiency; HAM analysis</t>
  </si>
  <si>
    <t>Durability; Laminating; Timber; Wooden construction; Air leakage; Assembly tolerance; Cross laminated; Durability assessment; HAM analysis; Heat , air , and moistures; Winter conditions; Wood construction; Energy efficiency</t>
  </si>
  <si>
    <t>Al Sayegh G., Hygrothermal Properties of Cross-Laminated Timber and Moisture Response of Wood at High Relative Humidity, (2012); Handbook-Fundamentals, (2009); 'Thermal environmental conditions for human occupancy,', (2013); 'Standard test method for using a heat flow meter apparatus for measuring thermal storage properties of phase change materials and products,', (2014); 'Standard test method for steady-state thermal transmission properties by means of the heat flow meter apparatus,', (2017); Bhattacharyya S., Claridge D.E., The energy impact of air leakage through insulated walls,, ASME. J. Sol. Energy Eng, 117, 3, pp. 167-172, (1995); Buchanan C.R., Sherman M.H., A Mathematical Model for Infiltration Heat Recovery, (2000); "Design fundamentals, (2012); Crespell P., Gaston C., The Value Proposition for Cross-Laminated Timber, (2011); Cussler E.L., Diffusion Mass Transfer in Fluid Systems, (2009); Hukka A., Viitanen H.A., A mathematical model of mould growth on wooden material,, Wood Science and Technology, 33, 6, pp. 475-485, (1999); Krus M., Vik A., Determination of hygric material properties and calculation of the moisture balance of wooden prisms,, Proceedings of the 5th Symposium Building in the Nordic Countries, pp. 313-320, (1999); Laguarda Mallo M.F., Espinoza O., Outlook for cross-laminated timber in the United States,, BioResources, 9, 4, pp. 7427-7443, (2014); Lehmann S., Sustainable construction for urban infill development using engineered massive wood panel systems,, Sustainability, 2012, 4, pp. 2707-2742, (2012); Lepage R.T.M., Moisture Response of Wall Assemblies of Cross-Laminated Timber Construction in Cold Climates, (2012); Massey B., Ward-Smith J., Mechanics of Fluids, (2005); McKeever D.B., Elling J., Wood Products Other Building Materials Used in New Residential Construction in the United States, (2015); McQuinston F., Parker J.D., Spitler J.D., Heating Ventilating and Air Conditioning, (2005); Mostinsky I.L., "Diffusion coefficient,", (2011); Cross-laminated timber,, (http://www.nrcan.gc.ca/forests/industry/products-applications/15829), Accessed on September, 11, (2016); Guide pour la Construction non Résidentielle, (2015); Perméabilité à la Vapeur d'Eau, (2017); O'Connor J., Mahalle L., Berry A., Environmental performance of cross-laminated timber,, Cross-laminated Timber Handbook, (2011); Ojanen T., Kumaran K., Effect of exfiltration on the hygrothernal behaviour of a residential wall assembly,, Journal of Thermal Insulation and Building Envelopes, 19, pp. 215-227, (1996); Ozolins A., Jakovics A., Ratnieks A., Moisture risks in multi-layered walls-Comparison of COMSOL-Multiphysics and WUFI-Plus models with experimental results,, COMSOL Conference, (2013); Pineault D., Berube-Dufour M., Rapport Final (SEP490945-15): Vérification de la Performance et Optimisation des Maisons de Chantier Fabriquées en CLT, (2016); Code de Construction du Québec: Partie 11: Efficacité énergétique, (2012); Schickhofer G., Glued wood products for structural use, cross laminated timber,, 3rd European Forest Week (SILVA2015), (2015); Schirmer R., Die Diffusionswiderstandszahl von Wasserdampf-Luftgemischen und die Verdampfungsgeschwindigkeit, (1938); Skogstad H.B., Gullbrekken L., Nore K., Air leakages through cross laminated timber (CLT) constructions,, NSB 2011 9th Nordic Symposium on Building Physics, pp. 89-96, (2011); Viitanen H., Ojanen T., Improved model to predict mold growth in building materials,, American Society of Heating, (2007); Viitanen H., Ritschkoff A.C., Mould Growth in Pine and Spruce Sapwood in Relation to Air Humidity and Temperature, (1991); Winter S., Schulte-Wrede M., Jebens K., Highly insulated wooden structures in Nordic climate,, World Conference on Timber Engineering, (2012); Wu Y., Experimental Study of Hygrothermal Properties for Building Materials, (2007)</t>
  </si>
  <si>
    <t>2-s2.0-85061339474</t>
  </si>
  <si>
    <t>Hurel N.; Woloszyn M.; Pailha M.; Moujalled B.</t>
  </si>
  <si>
    <t>Assessing the performance of three experimental methods to investigate air path inside wall assemblies</t>
  </si>
  <si>
    <t>264</t>
  </si>
  <si>
    <t>111937</t>
  </si>
  <si>
    <t>10.1016/j.buildenv.2024.111937</t>
  </si>
  <si>
    <t>https://www.scopus.com/inward/record.uri?eid=2-s2.0-85201227441&amp;doi=10.1016%2fj.buildenv.2024.111937&amp;partnerID=40&amp;md5=c19da8f50f0e8e2b78c123b5ad0b453a</t>
  </si>
  <si>
    <t>Air leakages in buildings’ envelopes can lead to an over-consumption of energy and to additional issues such as moisture damage and poor indoor environment. The leakage air flow rate is usually assessed at the building scale using a pressurization test and leakage locations are commonly detected by infrared thermography or smoke. However, little is known about the air paths within wall assemblies, despite the need for detailed experimental data to validate numerical models for the coupled heat, moisture and pollutants transfers. One of the reasons is the difficulty to find adapted and robust experimental methods. In this paper, three experimental laboratory approaches are tested on simple light-wall assembly configurations: the implementation of three-dimensional grids of thermocouples and relative humidity sensors within the wall, and the use of a micro-particle tracer. The results are compared with each other as well as with numerical simulations. It was found that thermocouple grid has limited intrusiveness, good accuracy and response time but results are subject to flow fluctuations. Moreover, heat capacity and conductive transfer within materials complicate the correlation between heat and air transfers. Humidity sensors grid avoids the latter issue but is intrusive, overestimating air dispersion. The micro-particle tracer has the advantage of being non-intrusive and less impacted by flow fluctuations but its ability to track the air flow is strongly linked with the insulation filtration properties and the flow velocity. Overall this method seems to provide the best results but it is also the most complex and time-consuming one. © 2024 Elsevier Ltd</t>
  </si>
  <si>
    <t>Air leakage path; Experimental methods; Fluorescein tracer; Heat transfer; Humidity transfer</t>
  </si>
  <si>
    <t>Air; Conductive materials; Flow velocity; Humidity sensors; Numerical models; Smoke; Specific heat; Thermocouples; Walls (structural partitions); Air leakage; Air leakage path; Air paths; Experimental methods; Flow fluctuations; Fluorescein tracer; Humidity transfer; Leakage paths; Micro particles; Wall assembly; airflow; building; computer simulation; dispersion; energy use; flow velocity; heat capacity; heat transfer; insulation; leakage; relative humidity; Heat transfer</t>
  </si>
  <si>
    <t>Li Y.L., Han M.Y., Liu S.Y., Chen G.Q., Energy consumption and greenhouse gas emissions by buildings: a multi-scale perspective, Build. Environ., 151, pp. 240-250, (2019); Perez-Lombard L., Ortiz J., Pout C., A review on buildings energy consumption information, Energy Build., 40, 3, pp. 394-398, (2008); Jones B., Et al., Assessing uncertainty in housing stock infiltration rates and associated heat loss: English and UK case studies, Build. Environ., 92, pp. 644-656, (2015); Logue J.M., Sherman M.H., Walker I.S., Singer B.C., Energy impacts of envelope tightening and mechanical ventilation for the U.S. residential sector, Energy Build., 65, pp. 281-291, (2013); Hurel N., Leprince V., VIP 46: building airtightness impact on Energy Performance (EP) calculations, (2023); Banister C., Bartko M., Berquist J., Macdonald I., Vuotari M., Wills A., Energy and emissions effects of airtightness for six non-residential buildings in Canada with comparison to contemporary limits and assumptions, J. Build. Eng., 58, (2022); Guillen-Lambea S., Rodriguez-Soria B., Marin J.M., Air infiltrations and energy demand for residential low energy buildings in warm climates, Renew. Sustain. Energy Rev., 116, (2019); Domhagen F., Wahlgren P., Consequences of varying airtightness in wooden buildings, Energy Proc., 132, pp. 873-878, (2017); Piggot-Navarrete J., Blanchet P., Cabral M.R., Perez C., Investigating the impact of construction workmanship defects on the hygrothermal performance and airtightness of lightweight-structure wooden envelope systems, Build. Environ., 243, (2023); Wilson A.G., Garden G.K., Moisture accumulation in walls due to air leakage, Presented at the Rilem/CIB Symposium Moisture Problems in Buildings, (1965); Ge H., Straube J., Wang L., Fox M.J., Field study of hygrothermal performance of highly insulated wood-frame walls under simulated air leakage, Build. Environ., 160, (2019); Kempton L., Daly D., Kokogiannakis G., Dewsbury M., A rapid review of the impact of increasing airtightness on indoor air quality, J. Build. Eng., 57, (2022); Zahed F., Pardakhti A., Motlagh M.S., Mohammad Kari B., Tavakoli A., The effect of airtightness required in building energy conservation regulations on indoor and outdoor originated pollutants, Heliyon, 9, 10, (2023); Fernandez-Aguera J., Dominguez-Amarillo S., Alonso C., Martin-Consuegra F., Thermal comfort and indoor air quality in low-income housing in Spain: the influence of airtightness and occupant behaviour, Energy Build., 199, pp. 102-114, (2019); Cheng X., Et al., Field study of infiltration rate and its influence on indoor air quality in an apartment, Procedia Eng., 205, pp. 3954-3961, (2017); VIP 45.X: Trends in Building and Ductwork Airtightness, (2023); Ji Y., Duanmu L., Airtightness field tests of residential buildings in Dalian, China, Build. Environ., 119, pp. 20-30, (2017); Bohm M., Et al., Factors influencing envelope airtightness of lightweight timber-frame houses built in the Czech Republic in the period of 2006–2019, Build. Environ., 194, (2021); Moujalled B., Leprince V., Berthault S., Litvak A., Hurel N., Mid-term and long-term changes in building airtightness: a field study on low-energy houses, Energy Build., 250, (2021); Hurel N., Pailha M., Garnier G., Woloszyn M., Impact of different construction details on air permeability of timber frame wall assemblies: some experimental evidences from a three-scale laboratory study, J. Build. Phys., (2016); Langmans J., Klein R., De Paepe M., Roels S., Potential of wind barriers to assure airtightness of wood-frame low energy constructions, Energy Build., 42, 12, pp. 2376-2385, (2010); Relander T.-O., Heiskel B., Tyssedal J.S., The influence of the joint between the basement wall and the wood-frame wall on the airtightness of wood-frame houses, Energy Build., 43, 6, pp. 1304-1314, (2011); Prignon M., Altomonte S., Ossio F., Dawans A., Van Moeseke G., On the applicability of meta-analysis to evaluate airtightness performance of building components, Build. Environ., 194, (2021); Kirimtat A., Krejcar O., A review of infrared thermography for the investigation of building envelopes: advances and prospects, Energy Build., 176, pp. 390-406, (2018); Lucchi E., Applications of the infrared thermography in the energy audit of buildings: a review, Renew. Sustain. Energy Rev., 82, pp. 3077-3090, (2018); Taylor T., Counsell J., Gill S., Energy efficiency is more than skin deep: improving construction quality control in new-build housing using thermography, Energy Build., 66, pp. 222-231, (2013); Langmans J., Feasibility of Exterior Air Barriers in Timber Frame Construction, (2013); Liddament M.W., A Guide to Energy Efficient Ventilation, (1996); Belleudy C., Woloszyn M., Chhay M., Cosnier M., A 2D model for coupled heat, air, and moisture transfer through porous media in contact with air channels, Int. J. Heat Mass Tran., 95, pp. 453-465, (2016); Yu S., Wei J., Zhou X., Study on HAM coupling migration of complex air-tightness defect structure caused by air leakage, Energy Built Environ, 4, 2, pp. 244-257, (2023); Li Q., Rao J., Fazio P., Development of HAM tool for building envelope analysis, Build. Environ., 44, 5, pp. 1065-1073, (2009); Liu D.-L., Nazaroff W.W., Modeling pollutant penetration across building envelopes, Atmos. Environ., 35, 26, pp. 4451-4462, (2001); Ojanen T., Simonson C., Convective moisture accumulation in structures with additional inside insulation, Proceedings of Thermal Performance of the Exterior Envelopes of Buildings VI, pp. 745-752, (1995); Desmarais G., “Impact of Added Insulation on the Hygrothermal Performance of Leaky Exterior Wall Assemblies,” Masters, (2000); Hurel N., Freschi M., Pailha M., Woloszyn M., Innovative use of fluorescein for the air path study within light-weight wall assemblies, Exp. Therm. Fluid Sci., 92, pp. 69-88, (2018); Hurel N., Impact of air infiltration on buildings' performance: focus on the experimental study within timber-frame walls, Université Grenoble Alpes, LOCIE, (2016); Miecret G., Gustavsson J., Mathematic expression of HEPA and ULPA filters efficiency experimental verification - practical alliance to new efficiency test methods, Presented at the Contaminexpert, Versailles, France, (1989); Hall R., Murdoch L., Falta R., Looney B., Riha B., Evaluation of liquid aerosol transport through porous media, J. Contam. Hydrol., 190, pp. 15-28, (2016); Einstein A., Über die von der molekularkinetischen Theorie der Wärme geforderte Bewegung von in ruhenden Flüssigkeiten suspendierten Teilchen, Ann. Phys., 322, pp. 549-560, (1905); Desmarais G., Derome D., Fazio P., Mapping of air leakage in exterior wall assemblies, J. Build. Phys., 24, 2, pp. 132-154, (2000); Trabelsi A., Et al., Analyse de la réponse des capteurs, (2013); Tetens O., Über einige meteorologische Begriffe, Z. Geophys., 6, pp. 297-309, (1930)</t>
  </si>
  <si>
    <t>2-s2.0-85201227441</t>
  </si>
  <si>
    <t>Ghazaryan T.; Tariku F.</t>
  </si>
  <si>
    <t>Hygrothermal performance assessment of split insulated cork wall assemblies under various moisture load conditions</t>
  </si>
  <si>
    <t>012031</t>
  </si>
  <si>
    <t>10.1088/1742-6596/2069/1/012031</t>
  </si>
  <si>
    <t>https://www.scopus.com/inward/record.uri?eid=2-s2.0-85121467168&amp;doi=10.1088%2f1742-6596%2f2069%2f1%2f012031&amp;partnerID=40&amp;md5=a25a5597204a562ffb6e9a59e7c5b7fc</t>
  </si>
  <si>
    <t>Every year along with the implementation of energy-saving, energy conservation and other green energy initiatives the demand for effective, but sustainable, renewable insulation materials in the construction industry increases. It is worth mentioning that the selection of insulation materials nowadays is not limited to its cost and technical characteristics only, but health-related aspects and carbon footprint are also taken into consideration. However, there are not many insulation materials that have competitive technical characteristics, are sustainable, renewable and do not pose risk for health. Cork and cork-based materials like insulation cork boards (ICB) are of these types of materials which have unusual combination of material properties, have low to negative carbon footprint and have low to almost zero negative impact on the ecology and human health during the whole life cycle and later on. That is why with the increasing demand for sustainable, renewable and ecological materials the interest toward cork in North America is expected to increase. However, there are not so many researches performed on lightweight wall assemblies common in North America with cork insulation applications. In this paper, the hygrothermal performance of natural cork insulation used in split wall assemblies is compared against similar, commonly used mineral wool and expanded polystyrene (EPS) wall assemblies for three different Canadian climates, using WUFI hygrothermal analysis computer simulation tool. The relative performance of seven wall assemblies, with various combinations of insulation type and vapor control strategies, exposed to different moisture loads including elevated indoor humidity, air leakage and rain penetration are presented. The simulation results suggest that, in general, assemblies with cork have a slight advantage in performance against the EPS assemblies, especially when the amount of moisture affecting the assemblies is high. In most cases, assemblies with mineral wool perform better than that of with cork and EPS insulations. © 2021 Institute of Physics Publishing. All rights reserved.</t>
  </si>
  <si>
    <t>Construction industry; Deterioration; Ecology; Energy conservation; Health risks; Insulating materials; Life cycle; Mineral wool; Thermal insulation; Wool; Yarn; %moisture; Energy  savings; Energy-savings; Expanded polystyrene; Hygrothermal performance; Insulation materials; Load condition; Performance assessment; Saving energy; Wall assembly; Carbon footprint</t>
  </si>
  <si>
    <t>Abu-Jdayil B, Mourad A-H, Hittini W, Hassan M, Hameedi S., Traditional, state-of-the-art and renewable thermal building insulation materials: An overview, Construction and Building Materials, 214, pp. 709-735, (2019); Barreca F, Fichera C R, Thermal insulation performance assessment of agglomerated cork boards, Wood and Fiber Science, 48, 2, pp. 1-8, (2016); Pereira H., Cork: Biology, Production and Uses, (2011); Tartaro AS, Mata TM, Martins AA, Esteves da Silva JCG., Carbon footprint of the insulation corkboard, Journal of Cleaner Production, 143, pp. 925-932, (2017); Knapic S, Oliveira V, Machado JS, Pereira H., Cork as a building material: a review, European Journal of Wood and Wood Products, 74, 6, (2016); Gupta P, Maji PK., Characterization of Wood, Cork and Their Composites for Building Insulation, Encyclopedia of Renewable and Sustainable Materials, pp. 44-59, (2020); Karagiozis AN, Kuenzel HM, Hardman B, Carll CG, Weston T, Dean SW., The Effect of Air Cavity Convection on the Wetting and Drying Behavior of Wood-Frame Walls Using a Multi-Physics Approach, Journal of ASTM International, 6, 10, (2009)</t>
  </si>
  <si>
    <t>2-s2.0-85121467168</t>
  </si>
  <si>
    <t>Bunkholt N.S.; Rüther P.; Gullbrekken L.; Geving S.</t>
  </si>
  <si>
    <t>Effect of forced convection on the hygrothermal performance of a wood frame wall with wood fibre insulation</t>
  </si>
  <si>
    <t>195</t>
  </si>
  <si>
    <t>107748</t>
  </si>
  <si>
    <t>10.1016/j.buildenv.2021.107748</t>
  </si>
  <si>
    <t>https://www.scopus.com/inward/record.uri?eid=2-s2.0-85102412670&amp;doi=10.1016%2fj.buildenv.2021.107748&amp;partnerID=40&amp;md5=3f7f5541245e4a4b08e02ea9a050a280</t>
  </si>
  <si>
    <t>Wood-based thermal insulation materials have interesting hygroscopic characteristics because of their high moisture capacity. The present paper investigates the moisture conditions in wood-frame walls with wood fibre thermal insulation. The effect of forced convection of moist air into the construction is studied in particular. Laboratory measurements were carried out on a full-scale wall model divided in five sections with various configurations. The wall sections had different combinations of exterior air barrier, thermal insulation and interior vapour retarder. Each section was prepared with an air leakage to simulate supply of moist air to the wall construction through forced convection. The measurement results provided insight in the moisture conditions in the wall and internal distribution of moisture in the wall sections. The results show that walls with wood fibre insulation may have the same risk of high moisture levels as walls with mineral wool insulation. However, the results indicate that wood fibre insulation absorbs condensation and melting water, while the mineral wool does not. Hence, the results imply that the wood fibre insulation has the benefit of distributing the moisture over a larger volume than the mineral wool insulation. Furthermore, the investigations indicate that using an exterior air barrier with high thermal resistance results in a generally lower moisture level in the wall construction, which can be considered favourable regarding risk of mould growth. © 2021 The Authors</t>
  </si>
  <si>
    <t>Forced convection; Hygrothermal performance; Wood fibre insulation; Wood-frame wall</t>
  </si>
  <si>
    <t>Forced convection; Mineral wool; Minerals; Moisture; Thermal insulation; Wool; Yarn; Exterior air barriers; High moisture; Hygrothermal performance; Moist air; Moisture conditions; Thermal; Wall sections; Wood fiber insulation; Wood frame walls; Woodfiber; hygroscopicity; insulation; moisture; thermal convection; wall; wood; Wood</t>
  </si>
  <si>
    <t>Wiik M.R.K., Et al., Lessons learnt from embodied GHG emission calculations in zero emission buildings (ZEBs) from the Norwegian ZEB research centre, Energy Build., 165, pp. 25-34, (2018); Bansal D., Singh R., Sawhney R.L., Effect of construction materials on embodied energy and cost of buildings—a case study of residential houses in India up to 60 m2 of plinth area, Energy Build., 69, pp. 260-266, (2014); Cabeza L.F., Et al., Low carbon and low embodied energy materials in buildings: a review, Renew. Sustain. Energy Rev., 23, pp. 536-542, (2013); Resch E., Et al., Estimating dynamic climate change effects of material use in buildings — timing, uncertainty, and emission sources, Build. Environ., (2021); Asdrubali F., Et al., A review of unconventional sustainable building insulation materials, Sustainable Materials and Technologies, 4, pp. 1-17, (2015); Zabalza Bribian I., Valero Capilla A., Aranda Uson A., Life cycle assessment of building materials: comparative analysis of energy and environmental impacts and evaluation of the eco-efficiency improvement potential, Build. Environ., 46, 5, pp. 1133-1140, (2011); Densley Tingley D., Hathway A., Davison B., An environmental impact comparison of external wall insulation types, Build. Environ., 85, pp. 182-189, (2015); Hill C., Norton A., Dibdiakova J., A comparison of the environmental impacts of different categories of insulation materials, Energy Build., 162, pp. 12-20, (2018); Takano A., Et al., The effect of material selection on life cycle energy balance: a case study on a hypothetical building model in Finland, Build. Environ., 89, pp. 192-202, (2015); Schiavoni S., Et al., Insulation materials for the building sector: a review and comparative analysis, Renew. Sustain. Energy Rev., 62, pp. 988-1011, (2016); Lopez Hurtado P., Et al., A review on the properties of cellulose fibre insulation, Build. Environ., 96, pp. 170-177, (2016); Jerman M., Et al., Thermal and hygric properties of biomaterials suitable for interior thermal insulation systems in historical and traditional buildings, Build. Environ., 154, pp. 81-88, (2019); Latif E., Et al., Quasi steady state and dynamic hygrothermal performance of fibrous Hemp and Stone Wool insulations: two innovative laboratory based investigations, Build. Environ., 95, pp. 391-404, (2016); Volf M., Divis J., Havlik F., Thermal, moisture and biological behaviour of natural insulating materials, Energy Procedia, 78, pp. 1599-1604, (2015); Zakaria S., Et al., Study of the hygrothermal behavior of wood fiber insulation subjected to non-isothermal loading, Appl. Sci., 9, 11, (2019); Vinha J., Analysis method to determine sufficient water vapour retarder for timber-framed walls, 8th Symposium on Building Physics in the Nordic Countries NSB2008, (2008); Peuhkuri R., Et al., Fugtfordeling i absorberende isoleringsmaterialer: Moisture distribution in absorbent insulation, BYG Sagsrapport Nr, (2003); Simonson C.J., Ojanen T., Salonvaara M., Moisture performance of an airtight, vapor-permeable building envelope in a cold climate, J. Therm. Envelope Build. Sci., 28, pp. 205-226, (2005); Mlakar J., Strancar J., Temperature and humidity profiles in passive-house building blocks, Build. Environ., 60, pp. 185-193, (2013); Janssens A., Hens H., Interstitial condensation due to air leakage: a sensitivity analysis, J. Build. Phys., 27, 1, pp. 15-29, (2003); Okland O., Convection in highly-insulated building structures, Department of Civil and Transport Engineering, (1998); Derome D., Moisture accumulation in cellulose insulation caused by air leakage in flat wood frame roofs, J. Therm. Envelope Build. Sci., 28, 3, pp. 267-287, (2005); Desmarais G., Derome D., Fazio P., Mapping of air leakage in exterior wall assemblies, J. Build. Phys., 24, 2, pp. 132-154, (2000); Desta T.Z., Langmans J., Roels S., Experimental data set for validation of heat, air and moisture transport models of building envelopes, Build. Environ., 46, 5, pp. 1038-1046, (2011); Langmans J., Klein R., Roels S., Hygrothermal risks of using exterior air barrier systems for highly insulated light weight walls: a laboratory investigation, Build. Environ., 56, pp. 192-202, (2012); Ge H., Et al., Field study of hygrothermal performance of highly insulated wood-frame walls under simulated air leakage, Build. Environ., 160, (2019); Ojanen T., Kumaran K., Effect of exfiltration on the hygrothermal behaviour of a residential wall assembly, J. Therm. Envelope Build. Sci., 19, 3, pp. 215-227, (1996); Wang L., Ge H., Stochastic modelling of hygrothermal performance of highly insulated wood framed walls, Build. Environ., 146, pp. 12-28, (2018); Watt D., Sjoberg S., Wahlgren P., Hygrothermal performance of a light weight timber wall assembly with an exterior air barrier, Energy Procedia, 78, (2015); Wang L., Ge H., Effect of air leakage on the hygrothermal performance of highly insulated wood frame walls: comparison of air leakage modelling methods, Build. Environ., 123, pp. 363-377, (2017); Belleudy C., Et al., Experimental and numerical investigations of the effects of air leakage on temperature and moisture fields in porous insulation, Build. Environ., 94, pp. 457-466, (2015); Kalamees T., Kurnitski J., Moisture convection performance of external walls and roofs, J. Build. Phys., 33, 3, pp. 225-247, (2010); Geving S., Lunde E., Holme J., Laboratory investigations of moisture conditions in wood frame walls with wood fiber insulation, Energy Procedia, 78, pp. 1455-1460, (2015); Rasmussen T.V., Nicolajsen A., Assessment of the performance of organic and mineral-based insulation products used in exterior walls and attics in dwellings, Build. Environ., 42, pp. 829-839, (2007); Latif E., Ciupala M.A., Wijeyesekera D.C., The comparative in situ hygrothermal performance of Hemp and Stone Wool insulations in vapour open timber frame wall panels, Construct. Build. Mater., 73, pp. 205-213, (2014); Latif E., Et al., Hygrothermal performance of wood-hemp insulation in timber frame wall panels with and without a vapour barrier, Build. Environ., 92, pp. 122-134, (2015); Levin P., Gudmundsson K., Moisture in constructions with loose-fill insulation and no vapour barrier, Nord. J. Build. Phys., 2, (2000); Gullbrekken L., Grynning S., Gaarder J.E., Thermal performance of insulated constructions—experimental studies, Buildings, 9, 2, (2019); Gullbrekken L., Et al., Hot-Box measurements of highly insulated wall, roof and floor structures, J. Build. Phys., 41, 1, pp. 58-77, (2017); Pihelo P., Kalamees T., The effect of thermal transmittance of building envelope and material selection of wind barrier on moisture safety of timber frame exterior wall, J. Build. Eng., 6, pp. 29-38, (2016)</t>
  </si>
  <si>
    <t>2-s2.0-85102412670</t>
  </si>
  <si>
    <t>Olson E.K.; Nicastro A.J.</t>
  </si>
  <si>
    <t>Ventilation and moisture control in architectural metal panel roofing systems</t>
  </si>
  <si>
    <t>ASTM Special Technical Publication</t>
  </si>
  <si>
    <t>STP 1617</t>
  </si>
  <si>
    <t>10.1520/STP161720180069</t>
  </si>
  <si>
    <t>https://www.scopus.com/inward/record.uri?eid=2-s2.0-85116937330&amp;doi=10.1520%2fSTP161720180069&amp;partnerID=40&amp;md5=df8bd095f916f8b5234e2e383db3ed4e</t>
  </si>
  <si>
    <t>Architectural metal roofing systems (AMRS) are considered to be a very durable type of steep-slope roofing system. Architectural metal roofing systems are commonly used in compact or unvented roofing assemblies over moisture-susceptible, nailable wood-based substrates placed directly over or laminated to rigid insulation or over nailable roof decks with spray-applied air- and vapor-impermeable polyurethane foam (SPUF) insulation applied directly to the underside of the deck. Use of AMRS without ventilation to relieve trapped moisture within the compact roofing assembly is commonplace, but under certain conditions, this practice can be risky. As is the case with most roofing systems, water trapped within roofing systems can lead to problems such as corrosion of fasteners and degradation of the substrate and supporting structural elements. Potential sources of water or moisture intrusion are many and can include intrusion of warm, humidified indoor air into the roofing system and condensation on cold surfaces, water leakage through the roofing system, or water entry during construction. Without adequate ventilation to relieve moisture, water trapped in the system can quickly cause damage to the underlying materials in the roof system. Ventilation of roofs over uninsulated decks and attic space is straightforward and commonly practiced, particularly when asphalt shingles are used. However, compact roof assemblies and assemblies with insulation above the deck require more sophisticated solutions that consider airflow continuity, placement of air and vapor retarders, and an understanding of the hygroscopic performance of the roofing system. This paper examines what makes architectural metal panel roof systems different from other systems in terms of construction techniques and moisture management, and it presents case studies and computer-based modeling of moisture flow to illustrate the need for ventilation. The authors discuss factors that increase the risk of moisture problems in AMRS and present effective design methods for ventilating and mitigating moisture in these roofing systems. Adequate protection of these systems from the effects of internal moisture using proper ventilation can help provide a robust, durable, and resilient AMRS.  © 2020 ASTM International.</t>
  </si>
  <si>
    <t>Compact metal roof; Metal roofing; Nailbase insulation; Resilient roofing; Roof ventilation; Roofing moisture; Vented metal roof</t>
  </si>
  <si>
    <t>Building materials; Corrosion; Insulation; Leakage (fluid); Metals; Moisture control; Substrates; Ventilation; %moisture; Compact metal roof; Metal roofing; Metal roofing system; Nailbase insulation; Resilient roofing; Roof ventilation; Roofing moisture; Roofing systems; Vented metal roof; Roofs</t>
  </si>
  <si>
    <t>Mae F., Instructions for Performing A Multifamily Property Condition Assessment-Appendix F (Estimated Useful Life Tables), Form 4099F, (2014); Interior environment, International Building Code, pp. 321-322, (2018); Rowley F.B., Algren A.B., Lund C.E., Condensation of moisture and its relation to building construction and operation, ASHVE Transactions, 45, pp. 231-252, (1939); Forrest T.W., Walker I.S., Attic ventilation model, Proceedings of the ASHRAE/DOE/BTECC Fifth Conference on Thermal Performance of Exterior Envelopes of Buildings, pp. 399-408, (1992); Tobiasson W., Tantillo T., Buska J., Ventilating cathedral ceilings to prevent problematic icings at their eaves, Proceedings of the North American Conference on Roofing Technology, pp. 84-97, (1999); Ventilated Nail Base for Commercial and Residential Sloped Roofs, (2011); Standard Specification for Asphalt-Saturated Organic Felt Used in Roofing and Waterproofing, ASTM D226/D226M-17, (2017); Heat, air, and moisture control in building assemblies-material properties, ASHRAE Fundamentals Handbook, pp. 261-2623, (2017); Standard Specification for Self-Adhering Polymer Modified Bituminous Sheet Materials Used As Steep Roofing Underlayment for Ice Dam Protection, ASTM D1970/D1970M-19, (2019)</t>
  </si>
  <si>
    <t>2-s2.0-85116937330</t>
  </si>
  <si>
    <t>Building Simulation</t>
  </si>
  <si>
    <t>11</t>
  </si>
  <si>
    <t>Yu S.; Wei J.; Zhou X.</t>
  </si>
  <si>
    <t>Study on HAM coupling migration of complex air-tightness defect structure caused by air leakage</t>
  </si>
  <si>
    <t>Energy and Built Environment</t>
  </si>
  <si>
    <t>10.1016/j.enbenv.2021.12.002</t>
  </si>
  <si>
    <t>https://www.scopus.com/inward/record.uri?eid=2-s2.0-85123618761&amp;doi=10.1016%2fj.enbenv.2021.12.002&amp;partnerID=40&amp;md5=0c537fce90c103db58c0b312bb8db60a</t>
  </si>
  <si>
    <t>The airtightness defects in building components are mainly composed of thin air gaps caused by porous materials and assembly tolerances. Indoor and outdoor air leakage, as well as risks such as condensation and mold growth in the structure, will result in significant heat loss. In this paper, a numerical model of heat, air and moisture transfer (commonly called HAM transfer) between the air channel and the porous material is proposed. The model adopts a single-domain modeling strategy without considering the migration coefficient of the interface. A benchmark experiment of the dilution buffer model is used to further validate the model, and the results indicate good consistency. The condensation risk of a two-dimensional complex building structural component in air infiltration and seepage scene was tested, and it was shown that the existence of air passage would prolong the time for the periodic equilibrium of water in the building structure and significantly change the temperature as well as the humidity distribution in the structure. In addition, the impact of an airtightness defect on the heat flux of the structure's internal boundary was analyzed qualitatively, and it was found that the infiltration scene has a larger effect on heat loss than the seepage scene. © 2021</t>
  </si>
  <si>
    <t>Air channel; Air leakage; HAM transfer; Unsaturated porous media</t>
  </si>
  <si>
    <t>Condensation; Heat flux; Heat losses; Leakage (fluid); Moisture control; Porous materials; Air channels; Air leakage; Air-gaps; Airtight ness; Airtightness; Defects structure; HAM transfer; In-buildings; Thin air; Unsaturated porous media; Seepage</t>
  </si>
  <si>
    <t>Fang L., Binguang, Et al., Moisture transfer in building envelope and influence on heat transfer[J], Procedia Eng., (2017); Zhou X., Carmeliet J., Derome D., Assessment of moisture risk of wooden beam embedded in internally insulated masonry walls with 2D and 3D models[J], Build. Environ., 193, (2020); Delgado J.M.P.Q., Guimar Es A.S., De F.V.P., Et al., Salt damage and rising damp treatment in building structures[j], Adv. Mater. Sci. Eng., 2016, (2016); Fahim A., De Carufel S., Ghods P., Et al., Practical model for predicting internal relative humidity of concrete exposed to drying[j], J. Mater. Civ. Eng., 31, 8, pp. 4019141-4019143, (2019); Karagiannis N., Karoglou M., Bakolas A., Et al., The influence of dynamic environmental conditions on capillary water uptake of building materials[J], J. Build. Phys., 42, 4, pp. 506-526, (2019); Basok B., Davydenko B., Pavlenko A.M., Numerical network modeling of heat and moisture transfer through capillary-porous building materials[j], Materials, 14, 8, (2021); Cho B., Park D., Kim J., Et al., Study on the heat-moisture transfer in concrete under real environment[J], Constr. Build. Mater., 132, pp. 124-129, (2017); Defraeye T., Blocken B., Carmeliet J., Analysis of convective heat and mass transfer coefficients for convective drying of a porous flat plate by conjugate modelling[J], Int. J. Heat. Mass. Transf, 55, 1-3, pp. 112-124, (2012); Monlouis-Bonnaire J.P., Verdier J., Perrin B., Prediction of the relative permeability to gas flow of cement-based materials[J], Cem. Concr. Res., 34, 5, pp. 737-744, (2004); Zhang H., Yoshino H., Iwamae A., Et al., Investigating simultaneous transport of heat and moisture in hygroscopic materials by a semi-conjugate CFD-coupled approach[J], Build. Environ., 90, aug, pp. 125-135, (2015); Nespoli L., pp. 38-40, (2013); Chen S., Yang B., Zheng C., Simulation of double diffusive convection in fluid-saturated porous media by lattice Boltzmann method[J], Int. J. Heat Mass Transf., 108, pp. 1501-1510, (2017); Song W., Zhang Y., Li B., Et al., Macroscopic lattice Boltzmann model for heat and moisture transfer process with phase transformation in unsaturated porous media during freezing process[J], Open Phys., 15, 1, pp. 379-393, (2017); Barhoun H., Guarracino G., Evaluating the energy impact of air infiltration through walls with a coupled heat and mass transfer method[j], Proceedings of the CIB, (2004); Roels S., Adan O., Brocken H., Et al., A comparison of different techniques to quantify moisture content profiles in porous building materials[J], J. Therm. Envel. Build. Sci., 27, 4, pp. 261-276, (2003); Descamps F., pp. 19-20, (1997); Nespoli L., Janetti M.B., Ochs F., Comparing Different Approaches for Moisture Transfer inside Constructions with Air Gaps[C]//COMSOL, Conference Rotterdam, (2013); Tariku F., Kumaran K., Fazio P., Transient model for coupled heat, air and moisture transfer through multilayered porous media[J][J], Int. J. Heat Mass Transf, 15-16, 53, pp. 3035-3044, (2010); van Schijndel A.W.M., Integrated heat air and moisture modeling and simulation[M], (2007); Belleudy C., Woloszyn M., Chhay M., Et al., A 2D model for coupled heat, air, and moisture transfer through porous media in contact with air channels[J], Int. J. Heat Mass Transf, 95, pp. 453-465, (2016); Marincioni V., Marra G., Altamirano-Medina H., Development of predictive models for the probabilistic moisture risk assessment of internal wall insulation[J], Building and Environment, 137, pp. 257-267, (2018); Jingang L., Hye, Et al., Characterization on the anisotropic slip for flows over unidirectional fibrous porous media for advanced composites manufacturing[J], Composites Part A Applied Science &amp; Manufacturing, pp. 9-19, (2017); Nield D.A., Bejan A., Convection in Porous Media, (2006); Saffman P.G., On the boundary condition at the surface of a porous medium[J], Stud. Appl. Math., 50, 2, pp. 93-101, (1971); Lundgren T.S., Slow flow through stationary random beds and suspensions of spheres[J], J. Fluid Mech., 51, 2, pp. 273-299, (2006); Lu J., Hwang W.R., pp. 2-3, (2017); Beavers G.S., Joseph D.D., Boundary conditions at a naturally permeable wall, J. Fluid Mech., 30, pp. 197-207, (1967); Datta A.K., Porous media approaches to studying simultaneous heat and mass transfer in food processes. II: property data and representative results[J], J. Food Eng., 80, 1, pp. 96-110, (2007); Millington R.J., Quirk J.P., Permeability of porous solids[J], Trans. Faraday Soc., 5, pp. 1200-1207, (1961); Iskra C.R., Simonson C.J., Convective mass transfer coefficient for a hydrodynamically developed airflow in a short rectangular duct[J], Int. J. Heat Mass Transf., 50, 11-12, pp. 2376-2393, (2007); Talukdar P., Olutmayin S.O., Osanyintola O.F., Et al., An experimental data set for benchmarking 1-D, transient heat and moisture transfer models of hygroscopic building materials. Part I: experimental facility and material property data[J], Int. J. Heat Mass Transf., 50, 23-24, pp. 4527-4539, (2007); Olutimayin S.O., Simonson C.J., Measuring and modeling vapor boundary layer growth during transient diffusion heat and moisture transfer in cellulose insulation[J], Int. J. Heat Mass Transf., 48, 16, pp. 3319-3330, (2005); Iskra C.R., James C., Talukdar P., Et al., Convective mass transfer coefficients for gypsum and wood paneling[J], J. ASTM Int., 6, 4, (2009); Tariku F., Whole building heat and moisture analysis[J], building civil &amp; environmental engineering, pp. 3-5, (2008); Kwiatkowski J., Feret K., Woloszyn M., Et al., pp. 28-31; Kwiatkowski J., Woloszyn M., Roux J.J., Modelling of hysteresis influence on mass transfer in building materials[J], Build. Environ., 44, 3, pp. 633-642, (2009); Tariku F., (2006); Perschk A., Meinhold U., Ein Modell zur hygrisch-thermischen Geb?udesimulation mit Hilfe der Kopplung von Zonen- und Feldmodell[J], Bauphysik, 29, 1, pp. 55-62, (2007); Carmeliet J., pp. 55-62; Time B., Studies On Hygroscopic Moisture Transport in Norway spruce (Picea abies) Part 1: Sorption measurements of Spruce Exposed to Cyclic Step Changes in Relative humidity[J], 604, pp. 271-276, (2002); James C., Simonson C.J., Talukdar P., Et al., Numerical and experimental data set for benchmarking hygroscopic buffering models[J], Int. J. Heat Mass Transf., 53, 19-20, pp. 3638-3654, (2010); Zhang H., Yoshino H., Hasegawa K., Assessing the moisture buffering performance of hygroscopic material by using experimental method[J], Build. Environ., 48, pp. 27-34, (2012); Abbas A., Carcasses M., Ollivier J.P., Gas permeability of concrete in relation to its degree of saturation[J], Materials and structures, 32, 1, pp. 3-8, (1999); Hamid R., Taghiyari. Nano-zycosil in MDF: gas and liquid permeability[J], Eur. J. Wood Wood Prod., (2013); Belleudy C., Woloszyn M., Cosnier M., Detailed numerical modelling of moist air flow through a complex airtightness, pp. 23-24, (2015); Abadie M.O., Finlayson E.U., Gadgil A.J., Infiltration heat recovery in building walls: computational fluid dynamics investigations results[J], Off. Sci. Tech. Inform. Tech. Rep., 52, 3, pp. 237-248, (2002); Kunzel H.M., Simultaneous Heat and Moisture Transport in Building components[J], (1995); Ozyhar T., Depnering T., Ridgway C., Et al., Utilization of inorganic mineral filler material as partial replacement for wood fiber in medium density fiberboard (MDF) and its effect on material properties[J], Eur. J. Wood Wood Prod., 78, 1, pp. 75-84, (2020); Xie X., Goodell B., Nagle D., Et al., Selected physical and mechanical properties of resin infused porous carbon composites made from medium density fiberboard[J], For. Prod. J., 59, 5, pp. 25-28, (2009); Kearsley E.P., Wainwright P.J., Porosity and permeability of foamed concrete[J], Cem. Concr. Res., 31, 5, pp. 805-812, (2001); Cong-Yun H., Yuan R.Z., Long S.Z., The pore structure and hydration performance of sulphoaluminate MDF cement[J], J. Wuhan Univ. Technol. Mater. Sci., 19, 1, pp. 83-85, (2004); Tavukcuoglu A., ors K., Duzgunes A., Et al., Compatibility assessment of exterior finish coats for insulated walls[J], METU J. Fac. Archit., 30, 1, pp. 79-97, (2013); Kaplan G., Turkoglu M., Bodur B., Et al., Usage of recycled fine aggregates obtained from concretes with low w/c ratio in the production of masonry plaster and mortar[J], Environment, Development and Sustainability, 3, pp. 1-30, (2021); Bao F.C., Lu J.X., Zhao Y., Effect of bordered pit torus position on permeability in Chinese yezo spruce[J], Wood Fiber Sci. J. Soc. Wood Sci. Technol., 33, 2, pp. 193-199, (2001); Usta Hale I., Comparison of the bordered pits of two species of spruce (Pinaceae) in a green and kiln-dried condition and their effects on fluid flow in the stem wood in relation to wood preservation[J], For. Int. J. For. Res., 79, 4, pp. 467-475, (2006); Hens H., Building Physics: Heat, Air and Moisture, Fundamentals and Engineering Methods With Examples and Exercises, (2012); Bhattacharyya S., Claridge D.E., pp. 167-172, (1995); LabatHeat M., air and moisture coupled transfers in wooden frame houses, experimental investigations and numerical modelling[J], (2012); Masmoudi W., Prat M., Heat and mass transfer between a porous medium and a parallel external flow. Application to drying of capillary porous materials[J], Int. J. Heat Mass Transf., 34, 8, pp. 1975-1989, (1991)</t>
  </si>
  <si>
    <t>2-s2.0-85123618761</t>
  </si>
  <si>
    <t>Vereecken E.; Roels S.</t>
  </si>
  <si>
    <t>Wooden beam ends in combination with interior insulation: An experimental study on the impact of convective moisture transport</t>
  </si>
  <si>
    <t>10.1016/j.buildenv.2018.10.060</t>
  </si>
  <si>
    <t>https://www.scopus.com/inward/record.uri?eid=2-s2.0-85057551475&amp;doi=10.1016%2fj.buildenv.2018.10.060&amp;partnerID=40&amp;md5=65e32ed7dd3cb3c25dc763a3ca738c37</t>
  </si>
  <si>
    <t>The risk free applicability of interior insulation in the presence of wooden beam ends is still a point of discussion. Two phenomena enlarge the risk on wood decay when interior insulation is applied: (1) a higher moisture load in the masonry due to a reduced drying potential and (2) a lower temperature in the masonry resulting in a higher risk on condensation if exfiltration of moist indoor air occurs. This paper studies - based on a hot box-cold box experiment - the impact of convective moisture transport and this for two vapour tight and one capillary active vapour open interior insulation system applied to a masonry wall with an embedded wooden beam. A comparison is made to a non-insulated wall. No wind-driven rain is included, making a pure analysis of convective moisture transport possible. For non-sealed beam junctions, a significant increase in relative humidity due to moist indoor air reaching the colder beam surface was clearly visible. The impact of air exfiltration was most pronounced for the capillary active system and was influenced by the way of sealing the airgap between the beam end and the wall. It is recommended to avoid air exfiltration as well as air circulation near the beam end. For mineral wool, the importance of an airtight sealing was less pronounced. An overpressure was found to influence the hygrothermal conditions near the beam ends of the poorly sealed test setups. Additionally, the convective air flow near the beam ends was analysed based on the measured temperatures. © 2018 Elsevier Ltd</t>
  </si>
  <si>
    <t>Airtight sealing; Capillary active insulation; Convective moisture transport; Hygrothermal assessment; Interior insulation; Wooden beam ends</t>
  </si>
  <si>
    <t>Air; Decay (organic); Masonry materials; Mineral wool; Moisture; Walls (structural partitions); Wooden beams and girders; Hygro-thermal conditions; Hygrothermal; Insulation system; Lower temperatures; Measured temperatures; Moisture transport; Wind-driven rain; Wooden beam ends; airflow; experimental study; indoor air; insulation; masonry; moisture transfer; relative humidity; sealing; structural component; wall; wood; Insulation</t>
  </si>
  <si>
    <t>Balaras C.A., Gaglia A.G., Georgopoulou E., Mirasgedis S., Sarafidis Y., Lalas D.P., European residential buildings and empirical assessment of the Hellenic building stock, energy consumption, emissions and potential energy savings, Build. Environ., 42, pp. 1298-1314, (2007); Tommerup H., Svendsen S., Energy savings in Danish residential building stock, Energy Build., 38, 6, pp. 618-626, (2006); Petersdorff C., Boermans T., Harnisch J., Mitigation of CO2 emissions from the EU-15 Building Stock – beyond the EU directive on the energy performance of Buildings, Environ. Sci. Pollut. Control Ser., 13, 5, pp. 350-358, (2006); Marincioni V., May N., Altamirano-Medina H., Parametric study on the impact of thermal bridges on the heat loss of internally insulated buildings, Energy Procedia, 78, pp. 889-894, (2015); Marincioni V., Altamirano-Medina H., May N., Sanders C., Estimating the impact of reveals in the transmission heat transfer coefficient of internally insulated wall dwellings, Energy Build., 128, pp. 405-412, (2016); Odgaard T., BjarlOv S.P., Rode C., Interior insulation – characterisation of the historic, solid masonry building segment and analysis of the heat saving potential by 1d, 2d, and 3d simulation, Energy Build., 162, pp. 1-11, (2018); Vereecken E., Roels S., A comparison of the hygric performance of interior insulation systems: a hot box-cold box experiment, Energy Build., 80, pp. 37-44, (2014); Zhao J., Grunewald J., Ruisinger U., Feng S., Evaluation of capillary-active mineral insulation systems for interior retrofit solution, Build. Environ., 115, pp. 215-227, (2017); Vereecken E., Van Gelder L., Janssen H., Roels S., Interior insulation for wall retrofitting - a probabilistic analysis of energy savings and hygrothermal risks, Energy Build., 89, pp. 231-244, (2015); Zhou X., Derome D., Carmeliet J., Hygrothermal modeling and evaluation of freeze-thaw damage risk of masonry walls retrofitted with internal insulation, Build. Environ., 125, pp. 285-298, (2017); Kunzel H., Effect of interior and exterior insulation on the hygrothermal behaviour of exposed walls, Mater. Struct., 31, pp. 99-103, (1998); Morelli M., Svendsen S., Investigation of interior post-insulated masonry walls with wooden beam ends, J. Build. Phys., 36, 2, pp. 265-293, (2012); Guizzardi M., Carmeliet J., Derome D., Risk analysis of biodeterioration of wooden beams embedded in internally insulated masonry walls, Construct. Build. Mater., 99, pp. 159-168, (2015); Vereecken E., Roels S., Capillary active interior insulation systems for wall retrofitting: a more nuanced story, Int. J. Architect. Herit.: Conservation, Analysis and Restoration, 10, 5, pp. 558-569, (2016); Vereecken E., Roels S., Capillary active interior insulation: do the advantages really offset potential disadvantages?, Mater. Struct., 48, 9, pp. 3009-3021, (2015); Marincioni V., Marra G., Altamirano-Medina H., Development of predictive models for the probabilistic moisture risk assessment of internal wall insulation, Build. Environ., 137, pp. 257-267, (2018); Hamid A.A., Wallenten, Hygrothermal assessment of internally added thermal insulation on external brick walls in Swedish multifamily buildings, Build. Environ., 123, pp. 351-362, (2017); Johansson P., Geving S., Hagentoft C.-E., Jelle B.P., Rognvik E., Kalagasidis A.S., Time B., Interior insulation retrofit of historical brick wall using vacuum insulation panels: hygrothermal numerical simulations and laboratory investigations, Build. Environ., 79, pp. 31-45, (2014); Scheffler G., Hygric performance of internal insulation with light-weight autoclaved aerated concrete, Proceedings of the 5th International Conference on Autoclaved Aerated Concrete, pp. 323-335, (2011); Scheffler G., Grunewald J., Material development and optimisation supported by numerical simulation for a capillary-active inside insulation material, Research in Building Physics, pp. 77-85, (2013); Haupl P., Fechner H., Martin R., Grunewald J., Neue J., pp. 145-154; Bomberg M., A concept of capillary active, dynamic insulation integrated with heating, cooling and ventilation, air conditioning system, Front. Architect. Civ. Eng. China, 4, 4, pp. 431-437, (2010); Pavlik Z., Jirickova M., Pavlik J., Cerny R., Interior thermal insulation system based on hydrophilic mineral wool, J. Build. Phys., 29, 1, pp. 21-35, (2005); Pavlik Z., Cerny R., pp. 1941-1946; Odgaard T., BjarlOv S.P., Rode C., Influence of hydrophobation and deliberate thermal bridge on hygrothermal conditions of internally insulated historic solid masonry walls with built-in wood, Energy Build., 173, pp. 530-546, (2018); Morelli M., Scheffler G., Nielsen T., Svendsen S., Internal insulation for masonry walls with wooden floor beams in Northern humid climate, Proceedings at Thermal Performance of the Exterior Envelopes of Whole Buildings XI, (2010); Harrestrup M., Svendsen S., Internal insulation applied in heritage multi-storey building with wooden beams embedded in solid masonry brick facades, Build. Environ., 99, pp. 59-72, (2016); Harrestrup M., Svendsen S., Full-scale test of an old heritage multi-storey building undergoing energy retrofitting with focus on internal insulation and moisture, Build. Environ., 85, pp. 123-133, (2015); Guizzardi M., Derome D., Vonbank R., Carmeliet J., Hygrothermal behavior of a massive wall with interior insulation during wetting, Build. Environ., 89, pp. 59-71, (2015); Ueno K., Masonry wall interior insulation retrofit embedded beam simulations, Proceedings of the Building Enclosure Science &amp; Technology Conference, BEST 3: High Performance Buildings – Combining Field Experience with Innovation, Atlanta, USA, April 2-4, 2012, (2012); Janetti M.B., Hygrothermal Analysis of Building Components Inclosing Air Cavities: Comparison between Different Modeling Approaches and Experimental Results, (2015); Wegerer P., Bednar T., Hygrothermal performance of wooden beam heads in inside insulated walls considering air flows, Energy Procedia, 132, pp. 652-657, (2017); Kehl D., Ruisinger U., Plagge R., Grunewald, Wooden beam ends in masonry with interior insulation – a literature review and simulation on causes and assessment of decay, ‘Proceedings of 2nd Central European Symposium on Building Physics’ Vienna, Italy, 2013, (2013); Kopecky P., Stanek K., Bures M., Richter J., Tywoniak J., Experimental investigations of wooden beam ends in masonry with internal insulation, Energy Procedia, 132, pp. 682-687, (2017); Langmans J., Klein R., Roels S., Hygrothermal risks of using exterior air barrier systems for highly insulated light weight walls: a laboratory investigation, Build. Environ., 56, pp. 192-202, (2012); Lindab, Lindab leakage tester, (2018); Dietsch P., Franke S., Franke B., Gamper A., Winter S., Methods to determine wood moisture content and their applicability in monitoring concepts, J Civil Structural Health Monitoring, 5, pp. 115-127, (2015); Otten K.A., Brischke C., Meyer C., Material moisture content of wood and cement mortars – electrical resistance-based measurements in the high ohmic range, Construct. Build. Mater., 153, pp. 640-646, (2017); Langmans J., Feasibility of Exterior Air Barriers in Timber Frame Construction, (2013); Kalamees T., Jokisalo J., Kurnitski J., Vinha J., Measurement and Simulations of Air Pressure in a Two-storey Detached House and in a Five-storey Apartment Building, (2007); Carl C.G., Highley T.L., Decay of wood and wood-based products above ground buildings, J. Test. Eval., 27, 2, pp. 150-158, (1999); Vereecken E., Roels S., Review of mould prediction models and their influence on mould risk evaluation, Build. Environ., 51, pp. 296-310, (2012); Sedlbauer K., Beurteilung von Schimmelpilzbildung auf und in Bauteilen, (2001); Peper S., Bangert A., Bastian Z., Integrating Wood Beams into the Airtight Layer, (2014); Vereecken E., Roels S., Wooden beam ends in combination with interior insulation: the importance of an airtight sealing, Energy Procedia, 132, pp. 664-669, (2017); Multipor, Hemp-felt insulation strips, (2018)</t>
  </si>
  <si>
    <t>2-s2.0-85057551475</t>
  </si>
  <si>
    <t>Choi K.; Park S.; Joe J.; Kim S.-I.; Jo J.-H.; Kim E.-J.; Cho Y.-H.</t>
  </si>
  <si>
    <t>Review of infiltration and airflow models in building energy simulations for providing guidelines to building energy modelers</t>
  </si>
  <si>
    <t>Renewable and Sustainable Energy Reviews</t>
  </si>
  <si>
    <t>181</t>
  </si>
  <si>
    <t>113327</t>
  </si>
  <si>
    <t>10.1016/j.rser.2023.113327</t>
  </si>
  <si>
    <t>https://www.scopus.com/inward/record.uri?eid=2-s2.0-85159682464&amp;doi=10.1016%2fj.rser.2023.113327&amp;partnerID=40&amp;md5=9113b6ec26cde00ab52d7a40b44f0a52</t>
  </si>
  <si>
    <t>The impact of the infiltration and airflow pattern of the building envelope and structure on thermal load is significant. Building energy simulation tools take this feature into account when calculating the heating and cooling load and evaluating the indoor hygrothermal environment. However, in many cases, the infiltration and airflow modeling is performed without appropriate assumption and understanding in research and the industrial field of building energy simulations. This is due to not only the lack of understanding or ignorance of their significance but also the complex nature of the infiltration and airflow pattern in buildings. In this study, the history and theoretical background of the infiltration and airflow models, which have been developed for several decades by various researchers with different types of tools, are investigated. The historical evolution of the models and their adoption in different building energy simulation tools are discussed to facilitate the proper use and implementation of infiltration and airflow models. Finally, the guidelines and practical insight for selecting the appropriate infiltration and airflow models in building energy simulation are presented with different scenarios of modeling along with actual examples from previous studies. © 2023</t>
  </si>
  <si>
    <t>Airflow model; Building energy modelers; Building energy simulation; Guideline for modelers; Infiltration model; Model selection</t>
  </si>
  <si>
    <t>Industrial research; Air flow modeling; Airflow patterns; Building energy; Building energy modeler; Building energy simulation tools; Building energy simulations; Guideline for modeler; In-buildings; Infiltration models; Model Selection; Buildings</t>
  </si>
  <si>
    <t>Buildings energy data book, (2011); World energy balances, (2021); Shrestha P., DeGraw J.W., Zhang M., Liu X., Multizonal modeling of SARS-CoV-2 aerosol dispersion in a virtual office building, Build Environ, 206, (2021); Cheng P., Chen W., Xiao S., Xue F., Wang Q., Chan P.W., You R., Lin Z., Niu J., Li Y., Probable cross-corridor transmission of SARS-CoV-2 due to cross airflows and its control, Build Environ, 218, March, (2022); Harish V.S.K.V., Kumar A., A review on modeling and simulation of building energy systems, Renew Sustain Energy Rev, 56, pp. 1272-1292, (2016); Younes C., Shdid C.A., Bitsuamlak G., Air infiltration through building envelopes: a review, J Build Phys, 35, 3, pp. 267-302, (2012); Liu X., Liu X., Zhang T., Ooka R., Kikumoto H., Comparison of winter air infiltration and its influences between large-space and normal-space buildings, Build Environ, 184, July, (2020); Emmerich S.J., Persily A.K., McDowell T.P., Impact of infiltration on heating and cooling loads in U.S. Office buildings, Proceedings of the 26th AIVC Conference, (2005); Miszczuk A., Heim D., Parametric study of air infiltration in residential buildings—the effect of local conditions on energy demand, Energies, 14, 1, (2021); Feijo-munoz J., Pardal C., Echarri V., Fernandez-aguera J., Assiego R., Larriva D., Montesdeoca M., Poza-casado I., Padilla-marcos M.A., Meiss A., Energy impact of the air infiltration in residential buildings in the Mediterranean area of Spain and the Canary Islands, Energy Build, 189, pp. 226-238, (2019); Mathur U., Damle R., Impact of air infiltration rate on the thermal transmittance value of building envelope, J Build Eng, 40, February, (2021); Ng L.C., Dols W.S., Emmerich S.J., Evaluating potential benefits of air barriers in commercial buildings using NIST infiltration correlations in EnergyPlus, Build Environ, 196, (2021); Bak J., Yoon S., Dwelling infiltration and heating energy demand in multifamily high-rise and low-energy buildings in Korea, Renew Sustain Energy Rev, 148, (2021); Ng L.C., Ojeda Quiles N., Dols W.S., Emmerich S.J., Weather correlations to calculate infiltration rates for U. S. commercial building energy models, Build Environ, 127, pp. 47-57, (2018); Bae Y., Joe J., Lee S., Im P., Ng L., Evaluation of existing infiltration models used in building energy simulation, Building Simulation 2021 Conference, September 1-2-3, 2021 Bruges, Belgium, (2021); Ng L.C., Persily A.K., Emmerich S.J., Improving infiltration modeling in commercial building energy models, Energy Build, 88, pp. 316-323, (2015); Lozinsky C.H., Touchie M.F., Improving energy model calibration of multi-unit residential buildings through component air infiltration testing, Build Environ, 134, February, pp. 218-229, (2018); Yoon S., Seo J., Cho W., Song D., A calibration method for whole-building airflow simulation in high-rise residential buildings, Build Environ, 85, pp. 253-262, (2015); Bak J., Yoon S., Song D., Lim H., Kim Y.S., Weather-driven infiltration and interzonal airflow in a multifamily high-rise building: dwelling infiltration distribution, Build Environ, 181, March, (2020); Kim J., Yoon S., Koo J., Bak J., Kim Y.S., TDC-based horizontal leakage area estimation in multiunit residential buildings: three correction factors, Build Environ, 192, October 2020, (2021); Poza-Casado I., Cardoso V.E.M., Almeida R.M.S.F., Meiss A., Ramos N.M.M., Padilla-Marcos M.A., Residential buildings airtightness frameworks: a review on the main databases and setups in Europe and North America, Build Environ, 183, (2020); Pasos A.V., Zheng X., Sougkakis V., Gillott M., Meulemans J., Samin O., Alzetto F., Smith L., Wood C.J., Experimental study on the measurement of building infiltration and air, Leakage rates (at 4 and 50 Pa) by means of Tracer Gas methods, Blower Door and the novel Pulse technique in a Detached UK Home. 39th AIVC Conference, (2018); Im P., Joe J., Bae Y., New J.R., Empirical validation of building energy modeling for multi-zones commercial buildings in cooling season, Appl Energy, 261, (2020); Mun J., Lee J., Kim M., Estimation of infiltration rate using blower door test and simulation, Energies, 14, 4, (2021); Sherman M.H., Estimation of infiltration from leakage and climate indicators, Energy Build, 10, 1, pp. 81-86, (1987); Pasos A.V., Zheng X., Gillott M., Wood C.J., Comparison between infiltration rate predictions using the divide-by-20 rule of thumb and real measurements, 40th AIVC Conference, 8th TightVent Conference, 6th Venticool Conference, October, 420–429, (2019); Zheng X., Cooper E., Gillott M., Wood C., A practical review of alternatives to the steady pressurisation method for determining building airtightness, Renew Sustain Energy Rev, 132, July, (2020); Lee D.S., Jeong J.W., Jo J.H., Experimental study on airtightness test methods in large buildings; proposal of averaging pressure difference method, Build Environ, 122, pp. 61-71, (2017); Yoon S., Song D., Kim J., Lim H., Stack-driven infiltration and heating load differences by floor in high-rise residential buildings, Build Environ, 157, February, pp. 366-379, (2019); Song D., Yoon S., Jeong C., Kim J., Lim H., Heat, vapor, and CO&lt;sub&gt;2&lt;/sub&gt; transportation caused by airflow in high-rise residential buildings, Build Environ, 160, (2019); Jo J.H., Lim J.H., Song S.Y., Yeo M.S., Kim K.W., Characteristics of pressure distribution and solution to the problems caused by stack effect in high-rise residential buildings, Build Environ, 42, 1, pp. 263-277, (2007); Lee D., Ji K., Jing J., Jo J., Experimental study on elevator door reopening problems caused by stack induced pressure differences across the elevator door in buildings, Build Environ, 221, June, (2022); Yoon S., Song D., Kim J., Kim J., Lim H., Koo J., Identifying stack-driven indoor environmental problems and associated pressure difference in high-rise residential buildings: airflow noise and draft, Build Environ, 168, (2020); Firrantello J., Bahnfleth W.P., Musser A., Freihaut J.D., Jeong J.W., Use of factorial sensitivity analysis in multizone airflow model tuning, Build Eng, 113, 1, pp. 642-651, (2007); Eguia-Oller P., Martinez-Marino S., Granada-Alvarez E., Febrero-Garrido L., Empirical validation of a multizone building model coupled with an air flow network under complex realistic situations, Energy Build, 249, (2021); Hong G., Kim B.S., Field measurements of infiltration rate in high rise residential buildings using the constant concentration method, Build Environ, 97, pp. 48-54, (2016); Hayati A., Mattsson M., Sandberg M., Evaluation of the LBL and AIM-2 air infiltration models on large single zones: three historical churches, Build Environ, 81, pp. 365-379, (2014); Wang X., Yang Y., Xu Y., Wang F., Zhang Q., Huang C., Shi C., Prediction of vertical thermal stratification of large space buildings based on Block-Gebhart model: case studies of three typical hybrid ventilation scenarios, J Build Eng, 41, (2021); Wang X., Zhou Y., Shi C., Xu Y., Huang C., Wang F., Vertical temperature distribution in large space buildings in the heating season: on-site measurement and Block-Gebhart model prediction considering air infiltration, Build Environ, 191, January, (2021); Liu X., Liu X., Zhang T., Theoretical model of buoyancy-driven air infiltration during heating/cooling seasons in large space buildings, Build Environ, 173, February, (2020); Liu W., Zhao X., Chen Q., A novel method for measuring air infiltration rate in buildings, Energy Build, 168, pp. 309-318, (2018); Han G., Srebric J., Enache-pommer E., Different modeling strategies of infiltration rates for an office building to improve accuracy of building energy simulations, Energy Build, 86, pp. 288-295, (2015); Lu Y., Dong J., Liu J., Zonal modelling for thermal and energy performance of large space buildings: a review, Renew Sustain Energy Rev, 133, 73, (2020); Qi T., Inverse modeling to predict effective leakage area, Master program thesis, Georgia Institute of Technology, (2012); Deru M., Field K., Studer D., Benne K., Griffith B., Torcellini P., Liu B., Halverson M., Winiarski D., Rosenberg M., Yazdanian M., Huang J., Crawley D., U.S. Department of energy commercial reference building models of the national building stock. 1–118, (2011); Du J., Pan W., Cooling-related energy uses and adaptive behaviors in high-rise residential buildings in the subtropical climate: a case study in Hong Kong, Build Environ, 223, April, (2022); Kim D.D., Suh H.S., Heating and cooling energy consumption prediction model for high-rise apartment buildings considering design parameters, Energy for Sustainable Development, 61, pp. 1-14, (2021); Wang X., Liu X., Blue Star: the proposed energy efficient tall building in Chicago and vertical city strategies, Renew Sustain Energy Rev, 47, pp. 241-259, (2015); Orme M., Applicable models for air infiltration and ventilation, AIVC Technical Note, 51, (1999); Liddament M., AIDA-An air infiltration development algorithm, Air Infiltration Review, 11, 1, (1989); Mansson R.G., A quarterly newsletter from the IEA air infiltration and ventilation Centre background of IEA Annex 18, (1990); Walker L.S., Wilson D.J., AIM-2: the Alberta air infiltration model, (1990); Walker L.S., Wilson D.J., Member A., Field validation of algebraic equations for stack and wind driven air infiltration calculations, HVAC R Res, 4, 2, pp. 119-139, (1998); Cripps A., Andrew cripps, Calculation methods for the determination of air flow rates in dwellings. 17th AIVC conference, (1996); Chartered institution of building services engineers, Natural ventilation in non-domestic buildings, (2005); Laboratory L.B., Sherman M.H., Grimsrud D.T., Measurement of infiltration using fan pressurization and weather data, (1980); Svensson C., Aggerholm S., Overcoming technical barriers to low-energy natural ventilation in office type buildings in moderate and cold climates: the NatVent programme 1.0 Fundamentals, (1998); Svensson C., Overcoming technical barriers to low-energy natural ventilation in office type buildings in moderate and cold climates: the NatVent programme 1.0 User's Guide, (1998); Phaff H., Natvent NaVIAQ MANUAL, (1998); Kolokotroni M., Tindale A., Irving S.J., NiteCool: office night ventilation pre-design tool. 18th AIVC conference, (1997); Santamouris M., Balaras C.A., Dascalaki E., Alvarez S., Coronel J.F., Rodriguez E.G., Building thermal simulation using a new tool-PASSPORT Plus, (1997); Liddament M., Allen C., The validation and comparison of mathematical models of air infiltration, (1983); Jackman P.J., Tech B., A study of the natural ventilation of tall office buildings, (1970); Sander D.M., Fortran IV Program to calculate air infiltration in buildings, (1974); Tamami K., The computer program heating and cooling loads in buildings, (1974); de Gids W.F., Calculation method for the natural ventilation of buildings, Vervarming en Ventilatie, 35, 7, pp. 551-564, (1978); Irving S.J., The computer simulation of smoke movement during building fires, (1979); Konarad A., Larsen B.T., ENCORE-Canada: computer program for the study of energy consumption of residential buildings in Canada, (1978); Robert H., Elkins, Timothy Cole J., Mac Sneed D., Zawacki J.W., Macriss R.A., Development and field verification of a model of excess and house air infiltration for single family residences, (1979); Plathner P., Woloszyn M., Interzonal air and moisture transport in a test house: experiment and modelling, Energy Build, 37, 2, pp. 189-199, (2002); Warren P.R., Webb B.C., Bre D., The relationship between tracer gas and pressurization techniques in dwellings, (1980); Liddament M.W., IEA. energy conservation in buildings and community systems programme Air Infiltration Calculation Techniques an Applications Guide, (1986); Hayati A., Natural ventilation and air infiltration in large single zone buildings measurements and modelling with reference to historical churches, Doctoral dissertation, Gävle University Press, (2017); Persily A., Ng L., Dols W.S., Emmerich S., Techniques to estimate commercial building infiltration rates. 40th AIVC conference, (2019); Lozinsky C., Improving the characterization of infiltration and natural ventilation parameters in whole-building energy models of multi-unit residential buildings, (2017); Achenbach P.R., Coblenz C.W., Field measurement of ten electrically heated houses, Build Eng, 69, pp. 358-365, (1963); EnergyPlus engineering reference, (2022); Sherman M.H., Grimsrud D.T., Infiltration-pressurization correlation: simplified physical modeling LBL-10163, (1980); ASHRAE fundamental, (2001); ASHRAE fundamental, (1989); ASHRAE fundamental, (1997); 12; 4; (1982); (2014); Im P., Bae Y., Lee S., New J., Empirical validation of multi-zone HVAC system model: evaluation of existing infiltration models used in building energy simulation, (2020); Walton G.N., Airnet - a computer program for building airflow network modelling, Nistir, 89–4072 April, (1989); Feustel H.E., Rayner H.A., COMIS-fundamentals, (1990); Feustel H.E., Dieris J., A survey of air flow models for multizone structures, Energy Build, 18, 2, pp. 79-100, (1992); Walton G.N., CONTAM93: user manual, (1994); Gu L., Airflow network modeling in EnergyPlus, Proceedings of Building Simulation 2007, 10, (2007); Cooper L.Y., Calculation of the flow through a horizontal ceiling/floor vent, (1989); Blomqvist C., Sandberg M., Air movements through horizontal openings in buildings - a model study, Int J Vent, 3, 1, pp. 1-9, (2004); Alonso M.J., Dols W.S., Mathisen H.M., Using co-simulation between EnergyPlus and CONTAM to develop IAQ and energy-centric demand-controlled ventilation systems, 40th AIVC - 8th TightVent - 6th Venticool Conference - ghent, (2019); Alonso M.J., Dols W.S., Mathisen H.M., Using Co-simulation between EnergyPlus and CONTAM to evaluate recirculation-based, demand-controlled ventilation strategies in an office building, Build Environ, 211, (2022); Dols W.S., Emmerich S.J., Polidoro B.J., Coupling the multizone airflow and contaminant transport software CONTAM with EnergyPlus using co-simulation, Build Simulat, 9, 4, pp. 469-479, (2016); Khalifa I., Ernez L.G., Znouda E., Bouden C., Coupling TRNSYS 17 and CONTAM: simulation of a naturally ventilated double-skin façade, Adv Build Energy Res, 9, 2, pp. 293-304, (2015); Dols W.S., Polidoro B.J., CONTAM user Guide and program documentation version 3.4, NIST technical note, (1887); Dols W.S., Wang L., Emmerich S.J., Polidoro B.J., Development and application of an updated whole-building coupled thermal, airflow and contaminant transport simulation program (TRNSYS/CONTAM), Journal of Building Performance Simulation, 8, 5, pp. 326-337, (2015); Hiller M., Holst S., Welfonder T., Weber A., Koschenz M.; Weber A., Koschenz M., Holst S., Hiller M., Welfonder T., TRNFLOW: integration of COMIS into TRNSYS type 56, Proceedings of the 3rd European Conference on Energy Performance and Indoor Climate, EPIC 2002, pp. 801-806, (2002); Hensen J.L.M., Hamelinck M.J.H., Loomans M.G.L.C., Modelling approaches for displacement ventilation in offices, 96, (1996); Djunaedy E., Hensen J.L.M., Loomans M.G.L.C., Development of a guideline for selecting a simulation tool for airflow prediction, Proceedings of the 8th International IBPSA Conference, Eindhove, Netherlands, (2003); Djunaedy E., Hensen J.L.M., Loomans M.G.L.C., Towards external coupling of building energy and airflow modeling programs, (2003); Choi W., Joe J., Kwak Y., Huh J., Operation and control strategies for multi-storey double skin facades during the heating season, Energy Build, 49, pp. 454-465, (2012); Mathur U., Damle R., Impact of air infiltration rate on the thermal transmittance value of building envelope, J Build Eng, 40, (2021); Brambilla A., Sangiorgio A., Durability issues, health implications and strategies to mitigate the ricks, Moisture and buildings, (2021); Mun H.J., Augenbroe G., A mixed simulation approach to analyze mold growth under uncertainty, Building Simulation 2005 Conference, August 15-18, 2005 Montreal, (2005); Kosonen R., Jokisalo J., Ranta-aho I., Koikkalainen E.-P.; TRNFLOW manual, (2009); Dorer V., Haas A., Keilholz W., Pelletret R., Weber A., COMIS V3.1 simulation environment for multizone air flow and pollutant transport modeling, Building Simulation 2001 Conference, August 13-15, 2001, (2001)</t>
  </si>
  <si>
    <t>Review</t>
  </si>
  <si>
    <t>2-s2.0-85159682464</t>
  </si>
  <si>
    <t>E3S Web of Conferences</t>
  </si>
  <si>
    <t>Salonvaara M.; Boudreaux P.; Desjarlais A.; Antretter F.; Werling E.</t>
  </si>
  <si>
    <t>Validation of Hygrothermal Simulations with Wall Performance Experiments in an Environmental Chamber</t>
  </si>
  <si>
    <t>172</t>
  </si>
  <si>
    <t>04010</t>
  </si>
  <si>
    <t>10.1051/e3sconf/202017204010</t>
  </si>
  <si>
    <t>https://www.scopus.com/inward/record.uri?eid=2-s2.0-85088472891&amp;doi=10.1051%2fe3sconf%2f202017204010&amp;partnerID=40&amp;md5=bd147e03fe7f7df8c168c77e4e3b6eb8</t>
  </si>
  <si>
    <t>Oak Ridge National Laboratory is developing a web tool, built on a rule-based expert system, that aids stakeholders in designing energy-efficient moisture-durable walls. Currently, the tool's expert system database is mostly populated with expert opinion, but work is being done to incorporate durability assessment based on stochastic hygrothermal modeling. Chamber experiments have been conducted to validate the hygrothermal models. The measured temperature and humidity have been compared with those predicted by the hygrothermal model. Experiments and comparison to one-dimensional hygrothermal modeling results were completed with two walls, a Structural Insulated Panel (SIP) based wall and a Concrete Masonry Unit (CMU) based wall. The two walls were succumbed to typical Chicago weather in ORNL's Heat, Air and Moisture chamber. The walls were sequentially exposed to different scenarios, including diffusion, wetting, air leakage and solar radiation. For the most part, the hygrothermal simulations can be successfully used to predict the performance of these wall systems for the moisture transport phenomenon. Errors between measured and simulated values decreased as measurements got closer to the interior side of the wall. The root mean square error was larger for relative humidity (up to 17.5%-RH for CMU) than for temperature (up to 4.5°C for CMU wall). The errors were larger for the CMU wall than the wood frame wall. The phenomenon, including liquid water, caused large discrepancies between measurement and simulation results, and simulated results showed slower drying of materials than measured results. The one-dimensional nature of the simulation model made simulating air leaks difficult but not impossible. © The Authors, published by EDP Sciences, 2020.</t>
  </si>
  <si>
    <t>Energy efficiency; Environmental chambers; Errors; Expert systems; Mean square error; Moisture; Stochastic systems; Concrete masonry units; Durability assessment; Hygrothermal simulation; Measurement and simulation; Oak ridge National Laboratory; Root mean square errors; Rule based expert systems; Structural insulated panels; Walls (structural partitions)</t>
  </si>
  <si>
    <t>Building America Top Innovations Hall of Fame Profile, 2, (2013); Fraunhofer; Holm A., Kunzel H., 5th Symposium on Building Physics in the Nordic Countries, pp. 677-684, (1999); Kunzel H., IRB Verlag, (1995); Kunzel H., Kiebl K., Krus M., International Symposium on Moisture Problems in Building Walls, pp. 258-265, (1995); Kunzel H., Kiebl K., Internationale Zeitschrift für Bauinstandsetzen, 2, pp. 87-100, (1996); Standard Test Method for Determining Rate of Air Leakage Through Exterior Windows, Skylights, Curtain Walls, and Doors under Specified Pressure Differences Across the Specimen, (2019); Kunzel H.M., Zirkelbach D., Schafaczek B., 9th Nordic Symposium on Building Physics-NSB 2011, (2011)</t>
  </si>
  <si>
    <t>2-s2.0-85088472891</t>
  </si>
  <si>
    <t>Stochastic modelling of hygrothermal performance of highly insulated wood framed walls</t>
  </si>
  <si>
    <t>146</t>
  </si>
  <si>
    <t>10.1016/j.buildenv.2018.09.032</t>
  </si>
  <si>
    <t>https://www.scopus.com/inward/record.uri?eid=2-s2.0-85054018479&amp;doi=10.1016%2fj.buildenv.2018.09.032&amp;partnerID=40&amp;md5=0d452a5b47818d4e3de8ff398a6fe918</t>
  </si>
  <si>
    <t>As energy consumption has become an important issue in building design, most building codes require a higher insulation level for building envelopes to improve the building's energy efficiency. However, the highly insulated walls may lead to a higher risk of moisture problems. Although hygrothermal simulation has been widely used to investigate the moisture performance of wood framed walls, the uncertainties of input parameters such as material properties, boundary conditions and moisture loads, may lead to discrepancies between simulation results and actual performance of the envelope. This paper investigates the hygrothermal performance of highly insulated wood framed walls using a stochastic approach, which combines the Latin Hypercube Sampling method and Factorial Design to take into account the uncertainties of material properties, boundary conditions and moisture loads (air leakage and rain leakage). The investigated walls include an I-joist deep cavity wall, two exterior insulated walls, and a conventional 2 × 6 stud wall as the baseline. It is found that under the moisture loads introduced (i.e. air leakage and rain leakage), the exterior insulated walls have a lower mold growth risk than the deep cavity wall and the 2 × 6 stud baseline wall. The uncertainties of material properties do not result in significant variations in simulation results such as moisture content and mold growth index as uncertainties of moisture loads do. The hygrothermal performance of these highly insulated walls is more sensitive to moisture loads and the significance of the moisture loads (air leakage and rain leakage) depends on climatic conditions. © 2018 Elsevier Ltd</t>
  </si>
  <si>
    <t>Durability; HAM simulations; Highly insulated wood framed walls; Hygrothermal performance; Mold growth risk; Stochastic modelling</t>
  </si>
  <si>
    <t>Architectural design; Boundary conditions; Durability; Energy efficiency; Energy utilization; Moisture; Molds; Rain; Risk assessment; Stochastic models; Stochastic systems; Studs (structural members); Wood; HAM simulations; Highly insulated wood framed walls; Hygrothermal performance; Hygrothermal simulation; Latin hypercube sampling methods; Moisture performance; Mold growth; Stochastic approach; boundary condition; design; durability; fungus; heat flow; leakage; moisture; sampling; stochasticity; wall; wood; Walls (structural partitions)</t>
  </si>
  <si>
    <t>Finch G., Wang J., Ricketts D., Guide for Designing Energy-efficient Building Enclosures, FPInnovations, (2013); Janssens A., Hens H., Interstitial condensation due to air leakage: a sensitivity analysis, J. Build. Phys., 27, 1, pp. 15-29, (2003); Smegal J., Lstiburek J., Straube J., Grin A., Moisture-related durability of walls with exterior insulation in the Pacific Northwest, Thermal Performance of the Exterior Envelopes of Whole Buildings XIII International Conference, (2013); Maref W., Armstrong M., Rousseau M., Lei W., A field monitoring investigation of the effect of adding different exterior thermal insulation materials on the hygrothermal response of wood-frame walls in a cold climate, BEST2 Conference, (2001); Arena L., Owens D., Mantha P., Measured performance of an R-40 Double-Stud wall in climate zone 5A, Thermal Performance of the Exterior Envelopes of Whole Buildings XIII International Conference, (2013); Parsons G., Lieburn B., Comparative energy and wall performance of twelve residential houses constructed in cold climate, Thermal Performance of the Exterior Envelopes of Whole Buildings XII International Conference; Florida, USA, (2013); Craven C., Garber-Slaght R., Exterior insulation envelope retrofits in cold climates: implications for moisture control, HVAC R Res., 20, 4, pp. 384-394, (2014); Glass S.V., Kochkin V., Drumheller S.C., Barta L., Moisture performance of energy-efficient and conventional wood-frame wall assemblies in a mixed-humid climate, Buildings, 5, pp. 759-782, (2015); Li Y., Yu H., Sharmin T., Awad H., Gul M., Toward energy-efficient homes: evaluating the hygrothermal performance of different wall assemblies through a long-time field monitoring, Energy Build., 121, pp. 43-56, (2016); Pihelo P., Kikkas H., Kalamees T., Hygrothermal performance of highly insulated timber-frame external wall, Energy Procedia, 96, pp. 685-695, (2016); Smegal J., Finch G., Nieto A., Schumacher C., Comparing the enclosure wall performance of low-permeance exterior insulation to high-permeance exterior insulation in the Pacific Northwest, Advances in Hygrothermal Performance of Building Envelopes: Materials, Systems and Simulations, STP1599-EB, pp. 95-121, (2017); Trainor T., Straube J., Smegal J., Parekh A., Measured and predicted moisture performance of high-R wall assemblies in cold climates, Thermal Performance of the Exterior Envelopes of Whole Buildings XII International Conference, Florida, USA, (2016); Salonvaara M., Karagiozis A., Holm A., Stochastic building envelope modelling-the influence of material properties, Proceedings for Performance of Exterior Envelopes of Whole Building Ⅷ: Integration of Building Envelope, Clearwater Beach, Florida, USA, (2001); Holm A., Kunzel H.M., Practical application of an uncertainty approach for hygrothermal building simulations—drying of an AAC flat roof, Build. Environ., 37, 8-9, pp. 883-889, (2002); Zhao J., Plagge R., Nicolai A., Grunewald J., Zhang J.S., Stochastic study of hygrothermal performance of a wall assembly-the influence of material properties and boundary coefficients, HVAC R Res., 17, 4, pp. 591-601, (2011); Defraeye T., Blocken B., Carmeliet J., Influence of uncertainty in heat–moisture transport properties on convective drying of porous materials by numerical modelling, Chem. Eng. Res. Des., 91, 1, pp. 36-42, (2013); Rmos N.M.M., Grunewald J., Subtask1: Stochastic Data, Annex 55 Reliability of Energy Efficient Building Retrofitting- Probability Assessment of Performance and Cost (RAP-RETRO), (2015); Janssen H., Roels S., Van Gelder L., Das P., Subtask2: Probabilistic Tools, Annex 55 Reliability of Energy Efficient Building Retrofitting- Probability Assessment of Performance and Cost (RAP-RETRO), (2015); Kalagasidis A.S., Rode C., Subtask3: Framework for Probabilistic Assessment of Performance of Retrofitted Building Envelopes, Annex 55 Reliability of Energy Efficient Building Retrofitting- Probability Assessment of Performance and Cost (RAP-RETRO), (2015); Bednar T., Hagentoft C., Subtask4: Risk Management by Probabilistic Assessment Development of Guidelines for Practice, Annex 55 Reliability of Energy Efficient Building Retrofitting- Probability Assessment of Performance and Cost (RAP-RETRO), (2015); Sadovsky Z., Koronthalyova O., Matiasovsky P., Mikulova K., Probabilistic modelling of mold growth in buildings, Build. Phys., 37, 4, pp. 348-366, (2014); Van Gelder L., Janssen H., Roels S., Probabilistic design and analysis of building performances: methodology and application examples, Energy Build., 79, pp. 202-211, (2014); Sulaiman H., Olsina F., Comfort reliability evaluation of building designs by stochastic hygrothermal simulation, Renew. Sustain. Energy Rev., 40, pp. 171-184, (2014); Vereecken E., Van Gelder L., Janssen H., Roels S., Interior insulation for wall retrofitting- a probabilistic analysis of energy savings and hygrothermal risks, Energy Build., 89, pp. 231-244, (2015); Tijskens A., Janssen H., Roels S., A simplified dynamic zone model for a probabilistic assessment of hygrothermal risks in building components, Energy Procedia, 132, pp. 717-722, (2017); Ilomets S., Kalamees T., Vinha J., Indoor hygrothermal loads for the deterministic and stochastic design of the building envelopes for dwelling in cold climates, Build. Phys., 41, 6, pp. 547-577, (2018); Marincioni V., Marra G., Altamirano-Medina H., Development of predictive models for the probabilistic moisture risk assessment of internal wall insulation, Build. Environ., 137, pp. 257-267, (2018); Wang L., Ge H., Hygrothermal performance of cross-laminated timber wall assemblies: a stochastic approach, Build. Environ., 97, pp. 11-25, (2015); Wang L., Ge H., Effect of air leakage on the hygrothermal performance of highly insulated wood frame walls: comparison of air leakage modelling methods, Build. Environ., 123, pp. 363-377, (2017); Fox M., Hygrothermal Performance of Highly Insulated Wood Frame Walls with Air Leakage: Field Measurement and Simulations, (2014); ASHRAE, ANSI/ASHRAE Standard 160-2016. Criteria for Moisture-control Design Analysis in Buildings, (2016); DELPHIN, Version 5.8.3. PC-program for Calculating the Coupled Heat and Moisture Transfer in Building Components, (2015); Kunzel H.M., Modelling air leakage in hygrothermal envelope simulation, Building Enclosure Science &amp; Technology (BEST3) Conference, Atlanta, USA, (2012); ASHRAE, ASHRAE Handbook: Fundamentals, (2013); Kumaran M.K., Lackey J.C., Normandin N., Tariku F., van Reenen D., Variation in the hygrothermal properties of several wood-based building products, Second International Building Physics Conference, Leuven, Belgium, (2003); Mukhopadhyaya P., Kumaran M.K., Lackey J.C., van Reenen D., Tariku F., Hygrothermal Properties of Exterior Claddings, Sheathing Boards, Membranes and Insulation Materials for Building Envelope Design, NRCC-50287, (2007); Emmerich S., Persily A., Analysis of U.S. commercial building envelope air leakage database to support sustainable building design, Int. J. Vent., 12, 4, pp. 331-344, (2014); Ojanen T., Viitanen R., Peuhkuri K., Lahdesmaky K., Vinha J., Salminen K., Mold growth modelling of building structures using sensitivity classes materials, Thermal Performance of Exterior Envelopes of Whole Building XI International Conference, (2010)</t>
  </si>
  <si>
    <t>2-s2.0-85054018479</t>
  </si>
  <si>
    <t>Rahiminejad M.; Ghazi Wakili K.; Barat A.; Renfer C.</t>
  </si>
  <si>
    <t>Hygrothermal Performance Analysis of Wooden Basements under Critical Conditions</t>
  </si>
  <si>
    <t>2222</t>
  </si>
  <si>
    <t>10.3390/buildings14072222</t>
  </si>
  <si>
    <t>https://www.scopus.com/inward/record.uri?eid=2-s2.0-85199664811&amp;doi=10.3390%2fbuildings14072222&amp;partnerID=40&amp;md5=84ca9746b0e675d864a89267b5e98d48</t>
  </si>
  <si>
    <t>Basements are integral to contemporary building design, serving as foundational structures with diverse functions in residential and commercial constructions. The utilization of wood as a natural, economical, and CO2 storage material for basement construction significantly influences the future of construction, necessitating established concepts to guarantee sustainability, and foremost, avoid possible damages induced by moisture intrusion. This paper explores the hygrothermal performance of a wooden basement when subjected to severe indoor and outdoor climates and in the absence of pressuring groundwater. Using both 1D and 2D numerical simulations, this study conducts risk analyses for several cases to evaluate how the wooden basement behaves under critical conditions, such as moisture accumulation in the assembly due to air convection through a gap in the insulation layer, air leakage through the waterproofing membrane, and high-vapor pressure caused by the high moisture load in the indoor space. The thresholds are determined for the initial wood moisture and indoor relative humidity, under which supports are given for the use of wooden elements in the basement structures, exhibiting satisfactory performance and avoiding wood decay in the construction. Additionally, the impact of the waterproofing membrane on avoiding wood decay in the assembly is highlighted. © 2024 by the authors.</t>
  </si>
  <si>
    <t>critical conditions; hygrothermal analysis; numerical simulations; sustainable constructions; wooden basement</t>
  </si>
  <si>
    <t>Architectural design; Decay (organic); Numerical models; Risk analysis; Sustainable development; Waterproofing; Building design; Critical condition; Foundational structures; Hygrothermal analysis; Hygrothermal performance; Performances analysis; Residential construction; Sustainable construction; Wood decays; Wooden basement; Groundwater</t>
  </si>
  <si>
    <t>Goto Y., Wakili K.G., Frank T., Stahl T., Ostermeyer Y., Ando N., Wallbaum H., Heat and moisture balance simulation of a building with vapor-open envelope system for subtropical regions, Build. Simul, 5, pp. 301-314, (2012); Ueno K., Hygrothermal Behavior of Interior Basement Insulation, (2007); Allwood J., Azevedo J., Clare A., Cleaver C., Cullen J., Dunant C., Fellin T., Hawkins W., Horrocks I., Horton P., Et al., Absolute Zero: Delivering the UK’s Climate Change Commitment with Incremental Changes to Today’s Technologies, (2019); Olsson J.A., Miller S.A., Alexander M.G., Near-term pathways for decarbonizing global concrete production, Nat. Commun, 14, (2023); Zabel R.A., Morrell J.J., Wood Microbiology, (2020); Kunzel H.M., Zirkelbach D., Bludau C., Feuchteverhalten von Kellerwänden mit Innendämmung, Z. Für Wärmeschutz Kälteschutz Schallschutz Brandschutz, 60, pp. 17-24, (2008); Straube J., Field Monitoring Hygrothermal Modeling Basement Insulation, (2009); Pallin S., Risk Assessment of Hygrothermal Performance: Building Envelope Retrofit, (2013); Goldberg L.F., Harmon A.C., Cold Climate Foundation Retrofit Experimental Hygrothermal Performance: Cloquet Residential Research Facility Laboratory Results, (2015); Fedorik F., Heiskanen R., Laukkarinen A., Vinha J., Impacts of multiple refurbishment strategies on hygrothermal behaviour of basement walls, J. Build. Eng, 26, (2019); Asphaug S.K., Kvande T., Time B., Peuhkuri R.H., Kalamees T., Johansson P., Berardi U., Lohne J., Moisture control strategies of habitable basements in cold climates, Build. Environ, 169, (2020); Asphaug S.K., Time B., Kvande T., Hygrothermal simulations of thermally insulated basement envelopes—Importance of boundary conditions below grade, Build. Environ, 199, (2021); Asphaug S., Hjermann I., Time B., Kvande T., Monitoring outward drying of externally insulated basement walls: A laboratory experiment, Build. Environ, 217, (2022); Asphaug S.K., Andenaes E., Geving S., Time B., Kvande T., Moisture-resilient performance of concrete basement walls: Numerical simulations of the effect of outward drying, Build. Environ, 222, (2022); Rahiminejad M., Raeber V., Wakili K.G., Geyer C., Zoelig S., Renfer C., Wooden basement; Hygrothermal performance analysis using in-field measurements and numerical simulations, Build. Environ, 256, (2024); Maref W., Swinton M.C., Kumaran M.K., Bomberg M.T., Three-dimensional analysis of thermal resistance of exterior basement insulation systems (EIBS), Build. Environ, 36, pp. 407-419, (2001); Swinton M.C., Maref W., Bomberg M.T., Kumaran M.K., Normandin N., In situ performance evaluation of spray polyurethane foam in the exterior insulation basement system (EIBS), Build. Environ, 41, pp. 1872-1880, (2006); Emery A.F., Heerwagen D.R., Kippenhan C.J., Steele D.E., Measured and predicted thermal performance of a residential basement, HVACR Res, 13, pp. 39-57, (2007); Saber H.H., Maref W., Swinton M.C., Thermal response of basement wall systems with low-emissivity material and furred airspace, J. Build. Phys, 35, pp. 353-371, (2012); Saaly M., Bobko K., Maghoul P., Kavgic M., Hollander H., Energy performance of below-grade envelope of an institutional building in cold regions, J. Build. Eng, 27, (2020); Heizwärmebedarf, (2016); Kehl D., Feuchtetechnische Bewertung von Holzbauteilen—Vereinfachte Nachweise und Simulation, (2016); Zirkelbach D., Hygrothermische Simulation—Anwendungsmöglichkeiten für Planer und Sachverständige, (2013); Kukk V., Kaljula L., Kers J., Kalamees T., Designing highly insulated cross-laminated timber external walls in terms of hygrothermal performance: Field measurements and simulations, Build. Environ, 212, (2022); Kunzel H.M., Modelling air leakage in hygrothermal envelope simulation, Proceedings of the Building Enclosure Science &amp; Technology (BEST3) Conference; Kunzel H.M., Simultaneous Heat and Moisture Transport in Building Components: One-and Two-Dimensional Calculation Using Simple Parameters, (1995); McClung R., Ge H., Straube J., Wang J., Hygrothermal performance of cross-laminated timber wall assemblies with built-in moisture: Field measurements and simulations, Build. Environ, 71, pp. 95-110, (2014); Lepage R., Finch G., Moisture uptake testing for CLT floor panels in a tall wood building in Vancouver, Proceedings of the 15th Canadian Conference on Building Science and Technology; Environmental Product Declaration as per ISO 14025 and EN 15804; Contec A.G.; Geotechnical Preliminary Study; Demolition, Conversion, and Elevation of the Greenhouses, (2020); Sonderegger W., Niemz P., Thermal conductivity and water vapour transmission properties of wood-based materials, Eur. J. Wood Wood Prod, 67, pp. 313-321, (2009); Bader H., Niemz P., Sonderegger W., Untersuchungen zum Einfluss des Plattenaufbaus auf ausgewählte Eigenschaften von Massivholzplatten, Holz Als Roh- Werkst, 65, pp. 173-181, (2007); Bonifacio S., Messungen und Simulation des Wassertransportes in Holzbauteilen, (2020); Hygrothermal Performance of Building Materials and Products—Determination of Water Vapour Transmission Properties—Cup Method, (2016); Hygrothermal Performance of Building Components and Building Elements—Assessment of Moisture Transfer by Numerical Simulation, (2007); Kunzel H.M., Bedeutung von Klimabedingungen und Diffusionseigenschaften für die Feuchtesicherheit voll gedämmter Altbaudächer, Bauphysik. Berichte aus Forschung und Praxis. Festschrift zum 60, (1998); Kunzel H.M., Raumluftfeuchte in Wohngebäuden—Randbedingung für die Feuchteschutzbeurteilung. Wksb—Zeitschrift für Wärmeschutz, Kälteschutz, Schallschutz, Brandschutz, 51, pp. 31-34, (2006); Thermal Performance of Buildings-Heat Transfer via the Ground-Calculation Methods, (2017); Wärmeschutz und Energie-Einsparung in Gebäuden. Teil 3: Klimabedingter Feuchteschutz—Anforderungen, Berechnungsverfahren und Hinweise für Planung und Ausführung, (2014); Thermal Bridges in Building Construction—Heat Flows and Surface Temperatures—Detailed Calculations, (2017); Zurcher C., Frank T., Bauphysik: Bau &amp; Energie, (2018); Building Components and Building Elements, Thermal Resistance and Thermal Transmittance, (2017); Schirmer R., Die Diffusionszahl von Wasserdampf-Luft-Gemischen und die Verdampfungsgeschwindigkeit, Beiheft VDI-Zeitschrift, Verfahrenstechnik, 6, pp. 170-177, (1938); Illig W., Die Größe der Wasserdampfübergangszahl bei Diffusionsvorgängen in Wänden von Wohnungen, Stallungen und Kühlräumen, Gesundheitsingenieur, 73, pp. 124-127, (1952); Gosele K., Schule W., Schall·Wärme·Feuchte, (1989)</t>
  </si>
  <si>
    <t>2-s2.0-85199664811</t>
  </si>
  <si>
    <t>Li W.; Subiantoro A.; McClew I.; Sharma R.N.</t>
  </si>
  <si>
    <t>CFD simulation of wind and thermal-induced ventilation flow of a roof cavity</t>
  </si>
  <si>
    <t>10.1007/s12273-021-0880-x</t>
  </si>
  <si>
    <t>https://www.scopus.com/inward/record.uri?eid=2-s2.0-85123926158&amp;doi=10.1007%2fs12273-021-0880-x&amp;partnerID=40&amp;md5=9ea729c53bdba5ebd932e3c7fc01e626</t>
  </si>
  <si>
    <t>The hygrothermal performance of a ventilated roof cavity is greatly affected by the airflow passing through it. This ventilation flow is mainly driven by the wind pressure difference between openings and the thermal-induced buoyancy. However, the wind effect is not well understood as it is often neglected in previous studies. The present study investigates the properties of such airflows, including the flow pattern, flow regime, and flow rate, using a CFD method. The target building is a large-span commercial building with a low-pitched roof. To study the wind-induced airflows, the onset atmospheric boundary layer wind flow was modelled, and the results were compared with the site-measured data recorded in the literature. To study the thermal-induced buoyancy effects, a roof cavity model found in the literature with experimental data was adopted. The findings show that the flow pattern in the roof cavity varied with the airflow driven factors. The flow separation at the windward eave inlet of the thermally induced flows are more pronounced compared with those of the wind-induced flows. Furthermore, the wind-induced airflows can generate around two times more ventilation flow rate through the roof cavity compared to the thermal-induced airflow. The findings indicate that wind-induced ventilation flows are the dominant factor of the roof cavity ventilation in a large-span, low-pitched building. © 2022, Tsinghua University Press.</t>
  </si>
  <si>
    <t>atmospheric boundary layer; CFD simulation; thermal-induced buoyancy; ventilated roof cavity</t>
  </si>
  <si>
    <t>Buoyancy; Computational fluid dynamics; Flow patterns; Flow separation; Office buildings; Roofs; Structural dynamics; Ventilation; Wind effects; CFD simulations; Induced airflow; Induced flows; Induced ventilation; Large span; Thermal; Thermal-induced buoyancy; Ventilated roof cavity; Ventilated roofs; Ventilation flow; Atmospheric boundary layer</t>
  </si>
  <si>
    <t>Almand R., London R., Airtight buildings causing moisture issues., (2020); Alsailani M., Montazeri H., Rezaeiha A., Towards optimal aerodynamic design of wind catchers: Impact of geometrical characteristics, Renewable Energy, 168, pp. 1344-1363, (2021); Alzwayi A.S., Paul M.C., Effect of width and temperature of a vertical parallel plate channel on the transition of the developing thermal boundary layer, International Journal of Heat and Mass Transfer, 63, pp. 20-30, (2013); ANSYS Fluent and CFX 2020 R1, (2020); (2011); ASHRAE Handbook of Fundamentals, (1993); Bassett M.R., McNeil S., The theory of ventilation drying applied to New Zealand cavity walls. Paper presented at the Institution of Refrigeration, (2005); Bianco V., Diana A., Manca O., Et al., Thermal behavior evaluation of ventilated roof under summer and winter conditions, International Journal of Heat and Technology, 35, pp. S353-S360, (2017); Bianco V., Diana A., Manca O., Et al., Numerical investigation of an inclined rectangular cavity for ventilated roofs applications, Thermal Science and Engineering Progress, 6, pp. 426-435, (2018); Biwole P.H., Woloszyn M., Pompeo C., Heat transfers in a double-skin roof ventilated by natural convection in summer time, Energy and Buildings, 40, pp. 1487-1497, (2008); Blocken B., Stathopoulos T., Carmeliet J., CFD simulation of the atmospheric boundary layer: wall function problems, Atmospheric Environment, 41, pp. 238-252, (2007); Bortoloni M., Bottarelli M., Piva S., Summer thermal performance of ventilated roofs with tiled coverings, Journal of Physics: Conference Series, 796, (2017); Bottarelli M., Zannoni G., Bortoloni M., Et al., CFD analysis and experimental comparison of novel roof tile shapes, Propulsion and Power Research, 6, pp. 134-139, (2017); Loading for buildings. Code Of Practice For Dead And Imposed Loads, British Standard., (1996); Bunkholt N.S., Sawen T., Stockhaus M., Et al., Experimental study of thermal buoyancy in the cavity of ventilated roofs, Buildings, 10, (2020); Celik I.B., Ghia U., Roache P.J., Et al., Procedure for estimation and reporting of uncertainty due to discretization in CFD applications, Journal of Fluids Engineering, 130, (2008); Cengel Y.A., Cimbala J.M., Fluid Mechanics: Fundamentals and Applications, (2004); Chami N., Zoughaib A., Modeling natural convection in a pitched thermosyphon system in building roofs and experimental validation using particle image velocimetry, Energy and Buildings, 42, pp. 1267-1274, (2010); Ciampi M., Leccese F., Tuoni G., Ventilated facades energy performance in summer cooling of buildings, Solar Energy, 75, pp. 491-502, (2003); De With G., Cherry N., Haig J., Thermal benefits of tiled roofs with above-sheathing ventilation, Journal of Building Physics, 33, pp. 171-194, (2009); El Ahmar S., Battista F., Fioravanti A., Simulation of the thermal performance of a geometrically complex Double-Skin Facade for hot climates: EnergyPlus vs. OpenFOAM, Building Simulation, 12, pp. 781-795, (2019); Falk J., Sandin K., Ventilated rainscreen cladding: Measurements of cavity air velocities, estimation of air change rates and evaluation of driving forces, Building and Environment, 59, pp. 164-176, (2013); Franke J., Hirsch C., Jensen A., Et al., Recommendations on the use of CFD in wind engineering, In: Proceedings of the International Conference on Urban Wind Engineering and Building Aerodynamics., (2004); Gagliano A., Patania F., Nocera F., Et al., Thermal performance of ventilated roofs during summer period, Energy and Buildings, 49, pp. 611-618, (2012); Gargallo-Peiro A., Avila M., Owen H., Et al., Mesh generation, sizing and convergence for onshore and offshore wind farm Atmospheric Boundary Layer flow simulation with actuator discs, Journal of Computational Physics, 375, pp. 209-227, (2018); Gullbrekken L., Uvslokk S., Kvande T., Et al., Wind pressure coefficients for roof ventilation purposes, Journal of Wind Engineering and Industrial Aerodynamics, 175, pp. 144-152, (2018); Irtaza H., Beale R.G., Godley M.H.R., Et al., Comparison of wind pressure measurements on Silsoe experimental building from full-scale observation, wind-tunnel experiments and various CFD techniques, International Journal of Engineering, Science and Technology, 5, pp. 28-41, (2018); Hygrothermal performance of building components and building elements., (2012); Janssens A., Hens H., Effects of wind on the transmission heat loss in duo-pitched insulated roofs: A field study, Energy and Buildings, 39, pp. 1047-1054, (2007); Kovac M., Vojtus J., Analysis of air velocity, moisture and thermal regime in an air gap of a double-shell roof, Energy Procedia, 78, pp. 759-764, (2015); Lee S., Park S.H., Yeo M.S., Et al., An experimental study on airflow in the cavity of a ventilated roof, Building and Environment, 44, pp. 1431-1439, (2009); Li D., Zheng Y., Liu C., Et al., Numerical analysis on thermal performance of naturally ventilated roofs with different influencing parameters, Sustainable Cities and Society, 22, pp. 86-93, (2016); Li J., Tong L., Wu J., Et al., Numerical investigation of wind pressure coefficients for photovoltaic arrays mounted on building roofs, KSCE Journal of Civil Engineering, 23, pp. 3606-3615, (2019); Matour S., Garcia-Hansen V., Omrani S., Et al., Wind-driven ventilation of Double Skin Facades with vertical openings: Effects of opening configurations, Building and Environment, 196, (2021); Menter F.R., Two-equation eddy-viscosity turbulence models for engineering applications, AIAA Journal, 32, pp. 1598-1605, (1994); Menter F.R., Langtry R.B., Likki S.R., Et al., A correlation-based transition model using local variables—part I: model formulation, Journal of Turbomachinery, 128, (2006); Mi H., Research on characteristic parameters of turbulente flow field around a square cross-sectioned bluff body, (2012); Moran P., Hoxey R.P., A probe for sensing static pressure in two-dimensional flow, Journal of Physics E: Scientific Instruments, 12, pp. 752-753, (1979); Pak R., Ocak Z., Sorguven E., Developing a passive house with a double-skin envelope based on energy and airflow performance, Building Simulation, 11, pp. 373-388, (2018); Richards P.J., Hoxey R.P., Computational and wind tunnel modelling of mean wind loads on the Silsoe structures building, Journal of Wind Engineering and Industrial Aerodynamics, 43, pp. 1641-1652, (1992); Richards P., Hoxey R., Appropriate boundary conditions for computational wind engineering models using the k-ϵ turbulence model, Journal of Wind Engineering and Industrial Aerodynamics, 46-47, pp. 145-153, (1993); Richards P.J., Norris S.E., Appropriate boundary conditions for a pressure driven boundary layer, Journal of Wind Engineering and Industrial Aerodynamics, 142, pp. 43-52, (2015); Richards P.J., Norris S.E., Appropriate boundary conditions for computational wind engineering: Still an issue after 25 years, Journal of Wind Engineering and Industrial Aerodynamics, 190, pp. 245-255, (2019); Richardson G.M., Surry D., The Silsoe structures building: Comparison between full-scale and wind-tunnel data, Journal of Wind Engineering and Industrial Aerodynamics, 51, pp. 157-176, (1994); Rupp S., Passive roof ventilation, Build, 152, pp. 54-55, (2016); Rupp S.H., McNeil S., Plagmann M., Overton G., Hygrothermal characteristics of cold roof cavities in new zealand, Buildings, 11, (2021); Safaei Pirooz A.A., Flay R.G.J., Comparison of speed-up over hills derived from wind-tunnel experiments, wind-loading standards, and numerical modelling, Boundary-Layer Meteorology, 168, pp. 213-246, (2018); Sawen T., Stockhaus M., Hagentoft C.E., Et al., Model of thermal buoyancy in cavity-ventilated roof constructions, Journal of Building Physics, (2021); Sharifi A., Yamagata Y., Roof ponds as passive heating and cooling systems: A systematic review, Applied Energy, 160, pp. 336-357, (2015); Straube J., Burnett E., Vents, ventilation drying, and pressure moderation, (1995); Straube J.F., Moisture control and enclosure wall systems, (1998); Susanti L., Homma H., Matsumoto H., Et al., Numerical simulation of natural ventilation of a factory roof cavity, Energy and Buildings, 42, pp. 1337-1343, (2010); Susanti L., Homma H., Matsumoto H., A naturally ventilated cavity roof as potential benefits for improving thermal environment and cooling load of a factory building, Energy and Buildings, 43, pp. 211-218, (2011); Tominaga Y., Mochida A., Yoshie R., Et al., AIJ guidelines for practical applications of CFD to pedestrian wind environment around buildings, Journal of Wind Engineering and Industrial Aerodynamics, 96, pp. 1749-1761, (2008); Tominaga Y., Akabayashi S.I., Kitahara T., Et al., Air flow around isolated gable-roof buildings with different roof pitches: Wind tunnel experiments and CFD simulations, Building and Environment, 84, pp. 204-213, (2015); Tong S., Li H., An efficient model development and experimental study for the heat transfer in naturally ventilated inclined roofs, Building and Environment, 81, pp. 296-308, (2014); Tosun I., Uner D., Ozgen C., Critical Reynolds number for Newtonian flow in rectangular ducts, Industrial &amp; Engineering Chemistry Research, 27, pp. 1955-1957, (1988); Vanpachtenbeke M., Langmans J., van den Bulcke J., Et al., On the drying potential of cavity ventilation behind brick veneer cladding: A detailed field study, Building and Environment, 123, pp. 133-145, (2017); Villi G., Pasut W., De Carli M., CFD modelling and thermal performance analysis of a wooden ventilated roof structure, Building Simulation, 2, pp. 215-228, (2009); Wang M., Hou J., Hu Z., Et al., Optimisation of the double skin facade in hot and humid climates through altering the design parameter combinations, Building Simulation, 14, pp. 511-521, (2021); The Weather Channel, Wheather Channel, (2021); Yang S., Cannavale A., Prasad D., Et al., Numerical simulation study of BIPV/T double-skin facade for various climate zones in Australia: Effects on indoor thermal comfort, Building Simulation, 12, pp. 51-67, (2019); Yau Y.H., Lian Y.C., A computational fluid dynamics study of the effects of buoyancy on air flow surrounding a building, Building Services Engineering Research and Technology, 37, pp. 257-271, (2016); Zaki A., Richards P., Sharma R., Analysis of airflow inside a two-sided wind catcher building, Journal of Wind Engineering and Industrial Aerodynamics, 190, pp. 71-82, (2019); Zheng X., Montazeri H., Blocken B., CFD simulations of wind flow and mean surface pressure for buildings with balconies: Comparison of RANS and LES, Building and Environment, 173, (2020); Zheng X., Montazeri H., Blocken B., CFD analysis of the impact of geometrical characteristics of building balconies on near-facade wind flow and surface pressure, Building and Environment, 200, (2021)</t>
  </si>
  <si>
    <t>2-s2.0-85123926158</t>
  </si>
  <si>
    <t>Assessing the performance of infrared thermography and PIV methods to identify and characterize the air inlets and outlets in wall assemblies</t>
  </si>
  <si>
    <t>95</t>
  </si>
  <si>
    <t>110308</t>
  </si>
  <si>
    <t>10.1016/j.jobe.2024.110308</t>
  </si>
  <si>
    <t>https://www.scopus.com/inward/record.uri?eid=2-s2.0-85199752135&amp;doi=10.1016%2fj.jobe.2024.110308&amp;partnerID=40&amp;md5=816da0ea153786202b881577f80bf27e</t>
  </si>
  <si>
    <t>Building airtightness is crucial for reducing energy demand in the building sector and preventing moisture damage and indoor environment quality issues. Mandatory airtightness tests are now commonly performed in many countries to quantify the total envelope leakage rate of real buildings. For a more precise diagnosis, air leakages are usually identified by infrared thermography or visualized by smoke. However, a finer analysis is also needed to characterize precisely the air flow through specific leaks. Numerical models have been developed for this purpose but experimental data are necessary to validate them. In this paper, two experimental approaches are tested on simple light-wall assembly configurations to address this need: infrared thermography (IRT) and the innovative use of particle image velocimetry (PIV) with a specific experimental set-up and protocol developed. The results are compared with each other as well as with numerical simulations. Results showed that both techniques can be applied for the experimental characterization of the air inlet/outlet of a wall assembly with different advantages and drawbacks. IRT is easy to implement, non-intrusive, possible for in-situ investigations, but the correlation between the thermographs and the air dispersion at the outlet is not straight forward due to thermal inertia and heat conduction issues. PIV gives direct results on the velocity field and enables quantitative analysis of air flow rates for various configurations, with some limitations: a difficult implementation; restrictions on the possible infiltration velocity range and difficulties to visualize the flow exactly at the interface with the wall assembly. © 2024</t>
  </si>
  <si>
    <t>Air leakage; Building envelope; Experimental methods; Infra-red thermography; PIV</t>
  </si>
  <si>
    <t>Air; Heat conduction; Numerical models; Smoke; Thermography (imaging); Velocity measurement; Walls (structural partitions); Air leakage; Airtightness; Building envelopes; Experimental methods; Image velocimetry; Particle image velocimetry; Particle image velocimetry methods; Particle images; Performance; Wall assembly; Air intakes</t>
  </si>
  <si>
    <t>Hurel N., Leprince V., VIP 46: building airtightness impact on Energy Performance (EP) calculations, (2023); Banister C., Bartko M., Berquist J., Macdonald I., Vuotari M., Wills A., Energy and emissions effects of airtightness for six non-residential buildings in Canada with comparison to contemporary limits and assumptions, J. Build. Eng., 58, (2022); Guillen-Lambea S., Rodriguez-Soria B., Marin J.M., Air infiltrations and energy demand for residential low energy buildings in warm climates, Renew. Sustain. Energy Rev., 116, (2019); Kalamees T., Air tightness and air leakages of new lightweight single-family detached houses in Estonia, Build. Environ., 42, 6, pp. 2369-2377, (2007); Jones B., Et al., Assessing uncertainty in housing stock infiltration rates and associated heat loss: English and UK case studies, Build. Environ., 92, pp. 644-656, (2015); Jokisalo J., Kurnitski J., Korpi M., Kalamees T., Vinha J., Building leakage, infiltration, and energy performance analyses for Finnish detached houses, Build. Environ., 44, 2, pp. 377-387, (2009); Hu J., Liu Z., Ma G., Zhang G., Ai Z., Air infiltration and related building energy consumption: a case study of office buildings in Changsha, China, J. Build. Eng., 74, (2023); Kempton L., Daly D., Kokogiannakis G., Dewsbury M., A rapid review of the impact of increasing airtightness on indoor air quality, J. Build. Eng., 57, (2022); Carrie R., Jobert R., Fournier M., Berthault S., Van Elslande H., Perméabilité à l'air de l'enveloppe des bâtiments- généralités et sensibilisation, CETE de Lyon, (2006); Airaksinen M., Pasanen P., Kurnitski J., Seppanen O., Microbial contamination of indoor air due to leakages from crawl space: a field study, Indoor Air, 14, 1, pp. 55-64, (2004); Domhagen F., Wahlgren P., Consequences of varying airtightness in wooden buildings, Energy Proc., 132, pp. 873-878, (2017); Piggot-Navarrete J., Blanchet P., Cabral M.R., Perez C., Investigating the impact of construction workmanship defects on the hygrothermal performance and airtightness of lightweight-structure wooden envelope systems, Build. Environ., 243, (2023); Ge H., Straube J., Wang L., Fox M.J., Field study of hygrothermal performance of highly insulated wood-frame walls under simulated air leakage, Build. Environ., 160, (2019); Sandberg P.I., Sikander E., Airtightness issues in the building process, Proceedings to the 7th Symposium on Building Physics in the Nordic Countries, (2005); Iordache V., Catalina T., Acoustic approach for building air permeability estimation, Build. Environ., 57, pp. 18-27, (2012); Flamant G., Bustamante W., Janssens A., Laverge J., Impact of the building airtightness and natural driving forces on the operation of an exhaust ventilation system in social housing in Chile, Ventilation, IEQ and Health in Sustainable Buildings - Proceedings Of 43rd AIVC Conference, 11th TightVent Conference, 9th Venticool Conference, INIVE, pp. 585-593, (2023); VIP 45.X: Trends in Building and Ductwork Airtightness, (2023); Ji Y., Duanmu L., Airtightness field tests of residential buildings in Dalian, China, Build. Environ., 119, pp. 20-30, (2017); Bohm M., Et al., Factors influencing envelope airtightness of lightweight timber-frame houses built in the Czech Republic in the period of 2006–2019, Build. Environ., 194, (2021); Moujalled B., Leprince V., Berthault S., Litvak A., Hurel N., Mid-term and long-term changes in building airtightness: a field study on low-energy houses, Energy Build., 250, (2021); Ayres de Mello L., Moura L.M., Mendes N., A model for predicting heat, air and moisture transfer through fibrous materials, Int. J. Therm. Sci., 145, (2019); Tariku F., Kumaran K., Fazio P., Transient model for coupled heat, air and moisture transfer through multilayered porous media, Int. J. Heat Mass Tran., 53, 15-16, pp. 3035-3044, (2010); Haupl P., Grunewald J., Fechner H., Stopp H., Coupled heat air and moisture transfer in building structures, Int. J. Heat Mass Tran., 40, 7, pp. 1633-1642, (1997); Belleudy C., Et al., Démarche pour l’étude de l'impact des transferts d'air liés aux défauts d’étanchéité sur le comportement de l'enveloppe des bâtiments à ossature bois, presented at the IBPSA France, Arras, France, (2014); Liu D.-L., Nazaroff W.W., Modeling pollutant penetration across building envelopes, Atmos. Environ., 35, 26, pp. 4451-4462, (2001); Maldague X., Applications of Infrared Thermography in Nondestructive Evaluation, (2000); Tardy F., A review of the use of infrared thermography in building envelope thermal property characterization studies, J. Build. Eng., 75, (2023); Kylili A., Fokaides P.A., Christou P., Kalogirou S.A., Infrared thermography (IRT) applications for building diagnostics: a review, Appl. Energy, 134, pp. 531-549, (2014); Balaras C.A., Argiriou A.A., Infrared thermography for building diagnostics, Energy Build., 34, 2, pp. 171-183, (2002); Lerma C., Barreira E., Almeida R.M.S.F., A discussion concerning active infrared thermography in the evaluation of buildings air infiltration, Energy Build., 168, pp. 56-66, (2018); Mahmoodzadeh M., Gretka V., Wong S., Froese T., Mukhopadhyaya P., Evaluating patterns of building envelope air leakage with infrared thermography, Energies, 13, 14, (2020); Kolsch B., Pernpeintner J., Schiricke B., Lupfert E., Air leakage detection in building façades by combining lock-in thermography with blower excitation, Int. J. Vent., 22, 4, pp. 357-365, (2023); Cao G., Sivukari M., Kurnitski J., Ruponen M., Seppanen O., Particle Image Velocimetry (PIV) application in the measurement of indoor air distribution by an active chilled beam, Build. Environ., 45, 9, pp. 1932-1940, (2010); Mortensen L.H., Rode C., Peuhkuri R., Investigation of airflow patterns in a microclimate by particle image velocimetry (PIV), Build. Environ., 43, 11, pp. 1929-1938, (2008); Karava P., Stathopoulos T., Athienitis A.K., Airflow assessment in cross-ventilated buildings with operable façade elements, Build. Environ., 46, 1, pp. 266-279, (2011); Lu Y., Et al., Evaluation of stack ventilation in a large space using zonal simulation and a reduced-scale model experiment with particle image velocimetry, J. Build. Eng., 34, (2021); Goubran S., Qi D., Saleh W.F., Leon L., Wang, Zmeureanu R., Experimental study on the flow characteristics of air curtains at building entrances, Build. Environ., 105, pp. 225-235, (2016); Sanjuan C., Sanchez M.N., Enriquez R., Celemin M.D.R.H., Experimental PIV techniques applied to the analysis of natural convection in open joint ventilated facades, Energy Proc., 30, pp. 1216-1225, (2012); Hurel N., Impact of air infiltration on buildings' performance: focus on the experimental study within timber-frame walls, Université Grenoble Alpes, LOCIE, (2016); Kirimtat A., Krejcar O., A review of infrared thermography for the investigation of building envelopes: advances and prospects, Energy Build., 176, pp. 390-406, (2018); Lucchi E., Applications of the infrared thermography in the energy audit of buildings: a review, Renew. Sustain. Energy Rev., 82, pp. 3077-3090, (2018); Willert C.E., Gharib M., Three-dimensional particle imaging with a single camera, Exp. Fluid, 12, 6, pp. 353-358, (1992); Omrane A., Petersson P., Alden M., Linne M.A., Simultaneous 2D flow velocity and gas temperature measurements using thermographic phosphors, Appl. Phys. B, 92, 1, pp. 99-102, (2008); Melling A., Tracer particles and seeding for particle image velocimetry, Meas. Sci. Technol., 8, 12, (1997)</t>
  </si>
  <si>
    <t>2-s2.0-85199752135</t>
  </si>
  <si>
    <t>Vanpachtenbeke M.; Langmans J.; Van den Bulcke J.; Van Acker J.; Roels S.</t>
  </si>
  <si>
    <t>Modelling moisture conditions behind brick veneer cladding: Verification of common approaches by field measurements</t>
  </si>
  <si>
    <t>44</t>
  </si>
  <si>
    <t>10.1177/1744259120908283</t>
  </si>
  <si>
    <t>https://www.scopus.com/inward/record.uri?eid=2-s2.0-85081979841&amp;doi=10.1177%2f1744259120908283&amp;partnerID=40&amp;md5=0ed71eecda24014fbc38ec08dcf05b9f</t>
  </si>
  <si>
    <t>Cavity walls consisting of an outer leaf, a cavity and an inner leaf are a widespread building enclosure configuration because of their good performance regarding rain tightness. To increase the drying potential, open head joints are typically provided in the brick outer leaf, creating cavity ventilation. Even though this cavity ventilation has a limited effect on the drying out of the brick veneer, it can significantly reduce the moisture levels inside the cavity. This might be crucial when the brick veneer is combined with, for example, a wooden load-bearing wall. A reliable prediction of the cavity moisture levels is hence essential. However, previous studies showed that the ventilation rate in the cavity is highly fluctuating in both magnitude and direction. That is why most numerical models simplify cavity ventilation by neglecting it, replacing it by an equivalent resistance, assuming a constant air change rate and so on. This article verifies common assumptions in numerical models to incorporate cavity ventilation behind a brick veneer cladding, by confronting the simulations with detailed field studies. The results showed that for walls exposed to driving rain and solar radiation, most simplified one-dimensional simulations do not suffice to predict the moisture content in the cavity in a reliable way. Only with two-dimensional simulations, incorporating the airflow in the cavity, a good agreement with the in situ measurements was obtained. Furthermore, the two-dimensional models showed to be able to capture the moisture gradient along with the height of the wall rather precisely. © The Author(s) 2020.</t>
  </si>
  <si>
    <t>brick veneer cladding; Cavity ventilation; field tests; hygrothermal conditions; numerical model</t>
  </si>
  <si>
    <t>Brick construction; Moisture; Moisture determination; Numerical models; Rain; Veneers; Ventilation; Walls (structural partitions); Brick veneer; Equivalent resistance; Field test; Hygro-thermal conditions; Moisture conditions; One-dimensional simulations; Two dimensional model; Two-dimensional simulations; Brick</t>
  </si>
  <si>
    <t>Blocken B., Wind-driven rain on buildings: measurements, numerical modelling and applications, (2004); Burnett E., Straube J., Vents, Ventilation Drying, and Pressure Moderation, (1995); Grunewald J., Diffusiver und konvektiver Stoff- und Energie- transport in kapillarporösen Baustoffen, (1997); Hagentoft C.E., Kalagasidis A.S., Adl-Zarrabi B., Et al., Assessment method of numerical prediction models for combined heat, air and moisture transfer in building components: benchmarks for one-dimensional cases, Journal of Thermal Envelope and Building Science, 27, 4, pp. 327-352, (2004); Hens H., Performance Based Building Design 1: From Below Grade Construction to Cavity Walls, (2012); Janssens A., Reliable control of interstitial condensation in lightweight roof systems. Calculation and assessment methods, (1998); Janssens A., Hens H., Interstitial condensation due to air leakage: a sensitivity analysis, Journal of Thermal Envelope and Building Science, 27, 1, pp. 15-30, (2003); Karagiozis A., Kunzel H., The effect of air cavity convection on the wetting and drying behavior of wood-frame walls using a multi-physics approach, Journal of ASTM International, 6, 10, pp. 1-15, (2009); Kunzel H.M., Verfahren zur ein- und zweidimesionalen Berechnung des dekoppelten Warme und Feuchtetransports in Bauteilen mit einfachen Kennwerten, (1994); Kunzel H.M., Karagiozis A.N., Kehrer M., Assessing the benefits of cavity ventilation by hygrothermal simulation, (2008); Langmans J., Feasibility of exterior air barriers in timber frame constructions, (2013); Langmans J., Roels S., Experimental analysis of cavity ventilation behind rainscreen cladding systems: a comparison of four measuring techniques, Building and Environment, 87, 5, pp. 177-192, (2015); Langmans J., Desta T., Alderweireldt L., Et al., Field study on the air change rate behind residential rainscreen cladding systems: a parameter analysis, Building and Environment, 95, 1, pp. 1-12, (2016); Nicolai A., Modeling and numerical simulation of salt transport and phase transitions in unsaturated porous building materials, (2007); Nicolai A., Grunewald J., Delphin 5 user manual and program reference, (2006); Okland O., Convection in highly insulated building structures, (1994); Roels S., VLIET test-building KU Leuven, Full Scale Test Facilities for Evaluation of Energy and Hygrothermal Performances, pp. 7-14, (2011); Salonvarra M., Karagiozis A., Pazera M., Et al., Air cavities behind claddings – what have we learned?, (2007); Sandin K., Temperature and moisture conditions in cavity walls, (1990); Sandin K., Skalmurskonstruktionens fuktoch temperaturbetingseler, (1991); Straube J.F., Burnett E.F.P., Vents, ventilation and masonry veneer wall systems, pp. 194-207, (1998); Straube J.F., Burnett E.F.P., Building Science for Building Enclosures, (2005); Straube J.F., Finch G., Ventilated wall claddings: review, field performance, and hygrothermal modeling, (2009); Straube J.F., van Straaten R., Burnett E., Field studies of ventilation drying, Thermal performance of the exterior envelopes of whole buildings IX, (2004); Tenwolde A., Carll C., Effect of cavity ventilation on moisture in walls and roofs, (1992); Van Belleghem M., Steeman M., Janssens A., Et al., Heat, air and moisture transport modelling in ventilated cavity walls, Journal of Building Physics, 38, 4, pp. 317-349, (2014); Vanpachtenbeke M., Timber frame walls with brick veneer cladding: reliability to fungal decay, (2019); Vanpachtenbeke M., Langmans J., Van den Bulcke J., Et al., On the drying potential of cavity ventilation behind brick veneer cladding: a detailed field study, Building and Environment, 123, pp. 133-145, (2017)</t>
  </si>
  <si>
    <t>2-s2.0-85081979841</t>
  </si>
  <si>
    <t>Zhang H.; Zhang H.; Arens E.; Jin L.; He Y.; Zhou E.; Zhou L.; Hu J.</t>
  </si>
  <si>
    <t>A study of the inhibitory effect and mechanism of airflow regarding mould on building surfaces</t>
  </si>
  <si>
    <t>Frontiers of Architectural Research</t>
  </si>
  <si>
    <t>10.1016/j.foar.2024.03.007</t>
  </si>
  <si>
    <t>https://www.scopus.com/inward/record.uri?eid=2-s2.0-85192526223&amp;doi=10.1016%2fj.foar.2024.03.007&amp;partnerID=40&amp;md5=be21c244f22c3dba00b28e5ec8194deb</t>
  </si>
  <si>
    <t>Air movement dries surfaces by increasing evaporation and convection, which may prevent mould growth. Cladosporium sp. is used as the test organism (dominant fungi in the envelope of rural houses in hot summer and warm winter areas), and the effect of fans on inhibiting mould growth on building materials is investigated. Surface mould growth on materials was simulated and compared after rain leakage and surface condensation, and spore germination was studied in high humidity, with or without airflow. The results are as follows: (1) Airflow has an evident inhibitory effect on mould growth on wet building materials. This observation was linked to the availability of moisture content in the building materials. (2) Airflow can slow the appearance of visual mould on the material surface. Mould did not appear on the gypsum surface due to the airflow, and mould growth on a wood surface was delayed for about two days. (3) Periodically, spore eluates were examined by electron microscopy to determine the stage of spore germination, and it was found that airflow delayed mould spore germination for about 2–3 days. © 2024 The Author(s)</t>
  </si>
  <si>
    <t>Airflow; Building envelope; Building material; Mould; Spores</t>
  </si>
  <si>
    <t>Arens E.A., Baughman A.V., Indoor humidity and human health: Part II - buildings and their systems, ASHRAE Transactions, 102, 1, pp. 212-221, (1996); Brambilla A., Sangiorgio A., Mould growth in energy efficient buildings: causes, health implications and strategies to mitigate the risk, Renew. Sustain. Energy Rev., 132, (2020); Cao G., Qian H., Li J., Indoor Microbial Pollution and Control in Buildings, (2022); Chen N., Shih C., Jung C., Hsu N.-Y., Chen C., Lee C., Su H., Impact of mold growth on di(2-ethylhexyl) phthalate emission from moist wallpaper, Heliyon, 8, 9, (2022); Dannemiller K.C., Weschler C.J., Peccia J., Fungal and bacterial growth in floor dust at elevated relative humidity levels, Indoor Air, 27, 2, pp. 354-363, (2017); Du C., Li B., Yu W., Indoor mould exposure: characteristics, influences and corresponding associations with built environment—a review, J. Build. Eng., 35, (2021); Du C., Et al., Home dampness/mold(D/M) improvement in children's residences over the past decade in China-a comparison of repeated surveys in 2010 and 2019, Build. Environ., 205, (2021); Foarde K., Cole E., Vanosdell D., Bush D., Franke D., Chang J., Characterization of Environmental Chambers for Evaluating Microbial Growth on Building Materials, pp. 185-190, (1992); Feng C., Janssen H., Impact of water repellent agent concentration on the effect of hydrophobization on building materials, J. Build. Eng., 39, (2021); Haas D., Et al., Comparison of background levels of culturable fungal spore concentrations in indoor and outdoor air in southeastern Austria, Atmos. Environ., 98, dec., pp. 640-647, (2014); Hanbin Y., Analysis of conditions of temperature and humidity to control microbial contaminant in air-conditioning system, Refrig. Air Cond., 11, pp. 14-17, (2011); Hansen T.K., Bjarlov S.P., Peuhkuri R.H., Hansen K.K., Performance of hydrophobized historic solid masonry – experimental approach, Construct. Build. Mater., 188, NOV.10, pp. 695-708, (2018); Harding C.F., Et al., Mold inhalation causes innate immune activation, neural, cognitive and emotional dysfunction, Brain Behav. Immun., 87, pp. 218-228, (2020); Johansson S., Wadso L., Sandin K., Estimation of mould growth levels on rendered façades based on surface relative humidity and surface temperature measurements, Build. Environ., 45, 5, pp. 1153-1160, (2010); Johansson P., Ekstrand-Tobin A., Bok G., An innovative test method for evaluating the critical moisture level for mould growth on building materials, Build. Environ., 81, pp. 404-409, (2014); Kazemian N., Pakpour S., Milani A.S., Klironomos J., Environmental factors influencing fungal growth on gypsum boards and their structural biodeterioration: a university campus case study, PLoS One, 14, 8, (2019); Li X., Zhong Q., Tang M., Gao Y., Feng C., Experimental and numerical analysis of the hygric performance of earthen buildings after façade hydrophobization treatment, Case Stud. Constr. Mater., (2023); Madsen A.M., Effects of airflow and changing humidity on the aerosolization of respirable fungal fragments and conidia of botrytis cinerea, Appl. Environ. Microbiol., 78, 11, pp. 3999-4007, (2012); Mcgill G., Moore J., Sharpe T., Downey D., Oyedele L., Airborne bacteria and fungi concentrations in airtight contemporary dwellings, International Congress, (2015); Moller E.B., Andersen B., Rode C., Peuhkuri R., Conditions for mould growth on typical interior surfaces, Energy Proc., 132, pp. 171-176, (2017); Pasanen A.L., Pasanen P., Jantunen M.J., Kalliokoski P., Significance of air humidity and air velocity for fungal spore release into the air. Atmospheric Environment. Part A, General Topics, 25, 2, pp. 459-462, (1991); Qiu Y., Et al., The effects of ventilation, humidity, and temperature on bacterial growth and bacterial genera distribution, Int. J. Environ. Res. Publ. Health, 19, 22, (2022); Qiao J., Zhang X., Xiao F., Li Y., Gao W., Experimental investigation of mold growth risk among typical residential indoor materials: case study in coastal city, China, Energy Build., 304, (2024); Sahlberg B., Et al., Airborne molds and bacteria, microbial volatile organic compounds (MVOC), plasticizers and formaldehyde in dwellings in three North European cities in relation to sick building syndrome (SBS), Sci. Total Environ., 444, pp. 433-440, (2013); Segers F.J.J., Van Laarhoven K.A., Huinink H.P., Adan O.C.G., W Sten H.A.B., Dijksterhuis J., Brakhage A.A., The indoor fungus cladosporium halotolerans survives humidity dynamics markedly better than Aspergillus Niger and Penicillium rubens despite less growth at lowered steady-state water activity, Appl. Environ. Microbiol., 82, 17, pp. 5089-5098, (2016); Viljoen M., Claassen N., Pathophysiological aspects of exposure to dampness-associated indoor mould and mycotoxins: a mini-overview, Journal of Hazardous Materials Advances, (2023); Wu H., Wong J.W.C., The role of oxidative stress in the growth of the indoor mold Cladosporium cladosporioides under water dynamics, Indoor Air, 30, 1, (2020); Zoberi M.H., Take-off of mould spores in relation to wind speed and humidity, Ann. Bot.-London, 25, 1, pp. 53-64, (1961); Zhai Y., Zhang H., Zhang Y., Pasut W., Arens E., Meng Q., Comfort under personally controlled air movement in warm and humid environments, Build. Environ., 65, pp. 109-117, (2013)</t>
  </si>
  <si>
    <t>2-s2.0-85192526223</t>
  </si>
  <si>
    <t>Defo M.; Lacasse M.</t>
  </si>
  <si>
    <t>Resilience of Canadian homes and small buildings to the effects of climate change - Risk of deterioration due to condensation within wall assemblies</t>
  </si>
  <si>
    <t>02002</t>
  </si>
  <si>
    <t>10.1051/e3sconf/202017202002</t>
  </si>
  <si>
    <t>https://www.scopus.com/inward/record.uri?eid=2-s2.0-85088429263&amp;doi=10.1051%2fe3sconf%2f202017202002&amp;partnerID=40&amp;md5=79842ea935f1cec18696bde78b9e79ad</t>
  </si>
  <si>
    <t>The objective of this study was to assess the potential effects of climate change on the moisture performance and durability of typical Canadian wood-frame walls using hygrothermal simulations, with a particular attention to the risk of condensation. To reduce the risk of condensation, the National Building Code of Canada (NBCC) recommends a maximum air leakage rate of 0.10L/sm2 at 75 Pa in buildings with interior relative humidity not greater than 55%. This leakage rate was evaluated in five cities across Canada for a wood-frame wall having brick cladding, with and without outdoor insulation and both walls meeting the minimum insulation requirements given in NBCC. It is found that the risk of condensation will be reduced in the future in all 5 cities analysed. The reduction in the risk of condensation is slightly higher for the wall with no exterior insulation than for the wall with exterior insulation. This reduction in the risk of condensation means that the limit of 0.10L/(sm2) for building having a warm side relative humidity of less than 55% may be reconsidered in the future. There may however be some risks associated with the increase in rain in some cities. © The Authors, published by EDP Sciences, 2020.</t>
  </si>
  <si>
    <t>Building codes; Condensation; Deterioration; Insulation; Risk assessment; Walls (structural partitions); Air-leakage rates; Climate change risks; Hygrothermal simulation; Moisture performance; National Building Code of Canada; Outdoor insulation; Potential effects; Risk of condensation; Climate change</t>
  </si>
  <si>
    <t>Mukhopadhyaya P., Kumaran K., Nofal M., Tariku F., Van Reenen D., 7th Symposium on Building Physics in the Nordic Countries, (2005); Ojanen T., Kumaran M., Symp. on Moisture Problems in Building Walls, (1995); National Building Code of Canada, (2015); Climate Change 2014. Synthesis Report. Intergovernmental Panel on Climate Change, (2014); Lacasse M.A., Ge H., Hegel M., Jutras R., Laouadi A., Sturgeon G., Wells J., Guideline on Design for Durability of Building Envelopes, (2018); ASHRAE Hanbook. Fundamentals, (2017); Gaur A., Lacasse M., Armstrong M., Data, 4, (2019); Cornick S., Djebbar R., Dalgliesh W.A., Building and Environment, 38, (2003); Kumaran M., Lackey J.C., Tariku F., Van Reenen D., A Thermal and Moisture Transport Property Database for Common Building and Insulation Materials, (2002); ISO 6946 Building Components and Building Elements-Thermal Resistance and Thermal Transmittance-Calculation Methods, (2017); Incropera F.P., DeWitt D.P., Fundamentals of Heat Andmass Transfer, (1996); ASHRAE Standard 160-2016. Criteria for Moisture-Control Design Analysis in Buildings, (2016); Maref W., Armstrong M., Rousseau M., Thivierge C., Nicholls M., Ganapathy G.L.W., 13th Camadian Conference on Building Science and Technology, (2011)</t>
  </si>
  <si>
    <t>2-s2.0-85088429263</t>
  </si>
  <si>
    <t>Mirzabeigi S.; Zhang R.; Krietemeyer B.; Zhang J.“.</t>
  </si>
  <si>
    <t>Modeling the Effects of Panel Interfaces on Air-Tightness and Thermal Performance of an Integrated Whole-Building Energy Efficiency Retrofit Assembly</t>
  </si>
  <si>
    <t>553 LNCE</t>
  </si>
  <si>
    <t>10.1007/978-981-97-8309-0_10</t>
  </si>
  <si>
    <t>https://www.scopus.com/inward/record.uri?eid=2-s2.0-85214242688&amp;doi=10.1007%2f978-981-97-8309-0_10&amp;partnerID=40&amp;md5=80abd9251a528a87f3820a7d4b1efe8c</t>
  </si>
  <si>
    <t>Achieving energy and environmental targets for increasing adoption of clean energy and promoting equity for all requires a new generation of approaches for energy retrofitting of residential buildings. The building envelope plays a significant role in mitigating thermal loads. Prefabricated panelized exterior insulated envelope systems are gaining momentum as a viable approach for retrofits that could improve energy efficiency and occupant comfort, but also shorten installation time, minimizing disruption to occupants. However, with any panelized system, there is a risk of air leakage between the seams which can negatively impact energy use and occupant comfort. Therefore, it is critical to quantify the leakage effect on the hygrothermal performance of these systems. One of the main challenges lies in modeling of airflow through cavities and cracks, where determining the leakage path is difficult. The present study investigates the use of numerical tools to predict the impact of air leakage on thermal performance of a prefabricated panel assembly for an energy efficient retrofit envelope system. Three physical panel prototypes were studied, including an opaque panel with no seams, a panel-to-panel with a horizontal seam, and a panel-to-panel with a vertical seam. Models were created with the in-house developed CHAMPS-BES software. The data from climate chamber experiments was used to validate the simulation results. Temperature distribution across the assemblies was simulated considering the leakage effect. The mean absolute percentage error was 3.9%, showing an agreement between the simulation and measurements, demonstrating that numerical modeling methods for predicting air leakage were successful. The results also showed 9–27% increase of effective thermal conductance of panels with seams in comparison with the reference panel without seams. © The Author(s), under exclusive license to Springer Nature Singapore Pte Ltd. 2025.</t>
  </si>
  <si>
    <t>Air Leakage; Building Energy Retrofit; Building Envelope; Thermal Performance</t>
  </si>
  <si>
    <t>Digital elevation model; Green buildings; Mortar; Zero energy buildings; Air leakage; Building energy; Building energy retrofit; Building envelopes; Energy; Energy retrofit; Leakage effects; Occupant comforts; Panels interface; Thermal Performance; Retrofitting</t>
  </si>
  <si>
    <t>Towards a Zero-Emission, Efficient, and Resilient Buildings Sector, (2017); (2009); Mirzabeigi S., Razkenari M., Design optimization of urban typologies: A framework for evaluating building energy performance and outdoor comfort, Sustain Cities Soc, 76, (2022); Webster B., Et al., Accelerating Residential Building Decarbonization: Market Guidance to Scale Zero-Carbon-Aligned Buildings, (2024); Mirzabeigi S., Razkenari M., Multiple benefits through residential building energy retrofit and thermal resilient design, 2022 (6Th) Residential Building Design &amp; Construction Conference, pp. 456-465, (2022); Mirzabeigi S., Zhang J., Razkenari M., Exterior retrofitting systems for energy conservation and efficiency in cold climates: A systematic review, Environ. Sci. Eng., pp. 413-422, (2023); Mirzabeigi S., Et al., Tailored WBGT as a heat stress index to assess the direct solar radiation effect on indoor thermal comfort, Energy Build, 242, (2021); Kamel E., Memari A.M., Residential building envelope energy retrofit methods, simulation tools, and example projects: A review of the literature, Buildings, 12, (2022); Mirzabeigi S., Et al., The impact of building retrofitting on thermal resilience against power failure: A case of air-conditioned house, Environ. Sci. Eng., pp. 2609-2619, (2023); Mirzabeigi S., Eteghad P., Razkenari M., Crovella P., Zhang J., Drone-based scanning technology for characterizing the geometry and thermal conditions of building enclosure system for fast energy audit and design of retrofitting strategies, 2022 (6Th) Residential Building Design &amp; Construction Conference, pp. 251-260, (2022); Building Elements - In-Situ Measurement of Thermal Resistance and Thermal Transmittance - Part 1: Heat Flow Meter Method, (2014); Persily A., Repeatability and Accuracy of Pressurization Testing. in Thermal Performance of the Exterior Envelopes of Buildings II, (1982); C1363-19 - Standard Test Method for Thermal Performance of Building Materials and Envelope Assemblies by means of a Hot Box Apparatus, (2019); E2357-18 - Standard Test Method for Determining Air Leakage Rate of Air Barrier Assemblies, (2018)</t>
  </si>
  <si>
    <t>2-s2.0-85214242688</t>
  </si>
  <si>
    <t>Saito H.; Osamura S.</t>
  </si>
  <si>
    <t>Hygrothermal Simulation for Wooden Wall Assemblies in Medium-rise Building in Consideration of Rain Penetration into Vented Cavity</t>
  </si>
  <si>
    <t>https://www.scopus.com/inward/record.uri?eid=2-s2.0-85167576211&amp;partnerID=40&amp;md5=57c3f6ba15b304510d5c483246db5c53</t>
  </si>
  <si>
    <t>This paper focuses on the moisture behavior of wooden wall assemblies in medium-rise buildings when rain can penetrate the vented cavity. In medium-rise buildings, the temperature and vapor pressure in the vented cavity of the wall assemblies rise with increasing height of the air flow path by heating and humidification caused by solar radiation and rain penetration, respectively. Hence, the vertical temperature and vapor pressure difference in the cavity are assumed to be higher in medium-rise than in low-rise buildings. The impact of building height on the hygrothermal behavior was investigated in a multi-story hygrothermal simulation model developed by vertically laminating horizontal one-dimensional models. A ventilation network model was added for calculating the airflow rate in the vented cavity. Wall assemblies with typical configurations were simulated under the moisture-control criteria defined by ASHARE 160. The simulations demonstrated that the temperature and vapor pressure increased in the cavity at higher locations of the wall assembly. When the airflow rate decreased in the cavity, notable internal condensation appeared on the vapor-barrier surface of the wall. The water-penetration rate from the exterior surface into the cavity significantly influenced the risk of moisture damage. The calculations also revealed the necessity of further studies considering the rain penetration on the medium-rise building. © 2022 ASHRAE.</t>
  </si>
  <si>
    <t>Moisture control; Rain; Vapor pressure; Walls (structural partitions); %moisture; Air flow; Air flow-rate; Flow path; Hygrothermal simulation; Radiation penetration; Rain penetration; Vapour pressures; Vertical temperature; Wall assembly; Hydrostatic pressure</t>
  </si>
  <si>
    <t>Hershfield Morrison, Survey of Building Envelope Failures in the Coastal Climate of British Columbia, (1996); Hershfield Morrison, Stucco-clad Wall Drying Experiment, (1999); Envelope Drying Rates Experiment, (2001); Straube J., Burnett E., Vents, Ventilation, and Pressure Moderation, (1995); Falk J., Ventilated rainscreen cladding: measurements of cavity air velocities, estimation of air change rates and evaluation of driving forces, Building and Environment, 59, pp. 164-176, (2013); Straube J., Burnett E., VanStraaten R., Schumacher C., Review of Literature and Theory – Report #1. ASHRAE 1091 – Development of Design Strategies for Rainscreen and Sheathing Membrane Performance in Wood Frame Walls, (2004); Lacasse M.A., O'Connor T.J., Nunes S., Beaulieu P., Report from Task 6 of MEWS Project Experimental Assessment of Water Penetration and Entry into Wood-Frame Wall Specimens – Final Report, (2003); ASHRAE Standard 160, Criteria for Moisture-Control Design Analysis in Buildings, (2009); Saito H., Miyamura K., Matusoka D., Osamura S., Mishima N., Demonstration of drying performance in wall assemblies considering rain penetration into vented cavity, Part 1 Outline of field measurements and relation between exterior system and hygrothermal behavior, Summaries of Technical Papers of Annual Meeting, (2022); Kunzel H. M., Karagiozis A. N., Kehrer M., Assessing the benefits of cavity ventilation by hygrothermal simulation, Proceedings of Building Physics Conference, (2008); TenWolde A., Carll C., Effect of Cavity Ventilation on Moisture in Walls and Roofs, Proceedings of the Thermal Performance of the Exterior Envelopes of Buildings V, pp. 555-562, (1992); TenWolde A., Carll C., Malinauskas V., Airflows and Moisture Conditions in Walls of Manufactured Homes, Airflow Performance of Building Envelopes, Components and Systems, pp. 137-155, (1995); Osamura S., Saito H., Nakajima M., Matsuoka D., Sekiguchi H., Study on hygrothermal behavior of wall assembly with vented cavity in consideration of driving rain, Part 2 Impact of components in vented cavity of exterior system on airflow rate, Summaries of Technical Papers of Annual Meeting, (2021); Kunzel H.M., Mayer E., Untersuchung über die notwendige Hinterlüftung an Außenwandbekeidung aus großformatigen Bauteilen, (1983); Umeno T., Hokoi S., Saito H., Honma Y., Field survey on the ventilation volume in the experimental house, Journal of Environmental Engineering (Transactions of AIJ), 694, pp. 909-916, (2013); Tariku F., Iffa E., Empirical model for cavity ventilation and hygrothermal performance assessment of wood frame wall systems: Experimental study, Building and Environment, 157, 15, pp. 112-126, (2019)</t>
  </si>
  <si>
    <t>2-s2.0-85167576211</t>
  </si>
  <si>
    <t>Delgadillo Buenrostro L.; Gosselin L.; Blanchet P.</t>
  </si>
  <si>
    <t>Hygrothermal response to air movements in wall junctions: Comparison between two numerical approaches and experiments</t>
  </si>
  <si>
    <t>International Journal of Thermal Sciences</t>
  </si>
  <si>
    <t>203</t>
  </si>
  <si>
    <t>109169</t>
  </si>
  <si>
    <t>10.1016/j.ijthermalsci.2024.109169</t>
  </si>
  <si>
    <t>https://www.scopus.com/inward/record.uri?eid=2-s2.0-85194198537&amp;doi=10.1016%2fj.ijthermalsci.2024.109169&amp;partnerID=40&amp;md5=d84cf0e0d08c90105cdfef54d4956740</t>
  </si>
  <si>
    <t>Airflow in wall-to-wall junctions is known to have a major hygrothermal impact on building performance. However, current and validated modeling options to simulate such phenomena are limited. This paper develops and compares two numerical models to study the heat and moisture transfer due to air infiltrations through a prefabricated wall-to-wall junction. The first model explicitly accounts for the airflow with a pipe flow approach. The second model is a modification to a typical approach to simulate ventilated cavities in building envelope simulation tools and mimics the effect of the airflow through source terms. Both approaches were introduced in a heat and moisture transfer 2D finite element model. Additionally, laboratory measurements were conducted in a climatic chamber to validate the simulation results. Six scenarios were tested experimentally under steady-state conditions. These datasets were used to calibrate different parameters of the models, such as material properties, the junction air gap thickness, and the magnitude of the heat and moisture source terms. Both sets of numerical results provided reasonable agreement with the measurements. The first approach outputs more accurate temperature and relative humidity values than the second one. However, considering uncertainties, no method predicted a perfect fit with the relative humidity profiles. Close to the junction, the first method estimates better the relative humidity than the second one. This work provides guidelines to better model and account for wall junctions in building envelope simulators. © 2024 The Author(s)</t>
  </si>
  <si>
    <t>Airtightness; Building envelope; Climatic chamber; Hygrothermal simulation</t>
  </si>
  <si>
    <t>Moisture control; Solar buildings; Air movement; Airtightness; Building envelopes; Climatic chamber; Heat and moisture transfer; Hygrothermal; Hygrothermal simulation; In-buildings; Source terms; Wall junctions; Walls (structural partitions)</t>
  </si>
  <si>
    <t>(2022); (2023); Chang S.J., Wi S., Kim S., Thermal bridging analysis of connections in cross-laminated timber buildings based on ISO 10211, Construct. Build. Mater., 213, pp. 709-722, (2019); May N., Breathability: the Key to Building Performance, pp. 1-30, (2005); APCHQ, L'abc de l'enveloppe des bâtiments dans le secteur résidentiel, (2017); 2017 ASHRAE Handbook-Fundamentals, (2017); Doyon N., Et al., Neuf cas d'intégration de systèmes de construction préfabriqués, (2019); Janssens A., Hens H., Interstitial condensation due to air leakage: a sensitivity analysis, J. Therm. Envelope Build. Sci., 27, 1, pp. 15-29, (2003); Bastien D., Winther-Gaasvig M., Influence of driving rain and vapour diffusion on the hygrothermal performance of a hygroscopic and permeable building envelope, Energy, 164, pp. 288-297, (2018); Delgadillo Buenrostro L., Gosselin L., Blanchet P., Numerical investigation of mold growth risk in vapor-permeable building envelopes with bio-based insulation in cold climates, Bio-Based Building Materials, RILEM Bookseries, 45, pp. 690-704, (2023); Afshari A., Et al., WHO Guidelines for Indoor Air Quality: Dampness and Mould, (2009); Prignon M., Van Moeseke G., Factors influencing airtightness and airtightness predictive models: a literature review, Energy Build., 146, pp. 87-97, (2017); Kalamees T., Alev U., Parnalaas M., Air leakage levels in timber frame building envelope joints, Build. Environ., 116, pp. 121-129, (2017); Gullbrekken L., Gradeci K., Norvik O., Ruther P., Geving S., Durability of traditional clamped joints in the vapour barrier layer: experimental and numerical analysis, Can. J. Civ. Eng., 46, 11, pp. 996-1000, (2019); Boudreaux P.R., New J.R., Shrestha S.S., Adams M.B., Pallin S.B., State-of-the-art for hygrothermal simulation tools, (2017); Traore I., Lacroix D., Trovalet L., Jeandel G., Heat and moisture transport in wooden multi-composite panels. Dynamic study of the air layer impact on the building envelope energetic behavior, Int. J. Therm. Sci., (2011); Laaroussi N., Lauriat G., Conjugate thermosolutal convection and condensation of humid air in cavities, Int. J. Therm. Sci., 47, 12, pp. 1571-1586, (2008); Belleudy C., Woloszyn M., Chhay M., Cosnier M., A 2D model for coupled heat, air, and moisture transfer through porous media in contact with air channels, Int. J. Heat Mass Tran., 95, pp. 453-465, (2016); Tariku F., Kumaran K., Fazio P., Transient model for coupled heat, air and moisture transfer through multilayered porous media, Int. J. Heat Mass Tran., 53, 15-16, pp. 3035-3044, (2010); Tariku F., Kumaran K., Fazio P., Integrated analysis of whole building heat, air and moisture transfer, Int. J. Heat Mass Tran., 53, 15-16, pp. 3111-3120, (2010); dos Santos G.H., Mendes N., Heat, air and moisture transfer through hollow porous blocks, Int. J. Heat Mass Tran., 52, 9-10, pp. 2390-2398, (2009); Langmans J., Nicolai A., Klein R., Roels S., A quasi-steady state implementation of air convection in a transient heat and moisture building component model, Build. Environ., 58, pp. 208-218, (2012); Woloszyn M., Rode C., Tools for performance simulation of heat, air and moisture conditions of whole buildings, Build. Simulat., 1, 1, pp. 5-24, (2008); Delgado J.M.P.Q., Barreira E., Ramos N.M.M., De Freitas V.P., Hygrothermal numerical simulation tools applied to building physics, SpringerBriefs in Applied Sciences and Technology, (2013); Ayres de Mello L., Moura L.M., Mendes N., A model for predicting heat, air and moisture transfer through fibrous materials, Int. J. Therm. Sci., 145, (2019); Kunzel H.M., Zirkelbach D., Schafaczek B., Modelling the effect of air leakage in hygrothermal envelope simulation, Proceedings of the Building Enclosure Science &amp; Technology (BEST3) Conference, (2012); Karagiozis A.N., Kunzel H.M., The effect of air cavity convection on the wetting and drying behavior of wood-frame walls using a multi-physics approach, J. ASTM Int. (JAI), 6, 10, (2009); Charest P.-Y., Tremblay F., Exterior Wall Panel and Exterior Wall Panel Assembly, (2022); Canadian Commission on Building and Fire Codes, National Energy Code of Canada for Buildings: 2020, (2022); Julien E., Blanchet P., Gosselin L., Case-study: fully prefabricated wood wall connection to improve building envelope and on-site efficiency, Buildings, 12, 2185, (2022); Lu X., Memari A.M., Comparative study of Hot Box Test Method using laboratory evaluation of thermal properties of a given building envelope system type, Energy Build., 178, pp. 130-139, (2018); Slimani Z., Trabelsi A., Virgone J., Zanetti Freire R., Study of the hygrothermal behavior of wood fiber insulation subjected to non-isothermal loading, Appl. Sci., 9, 11, (2019); Kalamees T., Air tightness and air leakages of new lightweight single-family detached houses in Estonia, Build. Environ., 42, 6, pp. 2369-2377, (2007); Li S., Irwin P., Kilpatrick J., Gibbons M., Sifton V., A review of historical extreme wind speeds in a changing climate at some major Canadian cities, CSCE Annual Conference and Annual General Meeting, (2017); Ilinca A., McCarthy E., Chaumel J.-L., Retiveau J.-L., Wind potential assessment of Quebec province, Renew. Energy, 28, 12, pp. 1881-1897, (2003); Holmes J.D., Wind pressures on tropical housing, J. Wind Eng. Ind. Aerod., 53, 1-2, pp. 105-123, (1994); Eaton K.J., Mayne J.R., The measurement of wind pressures on two-storey houses at Aylesbury, J. Wind Eng. Ind. Aerod., 1, pp. 67-109, (1975); Sakib F.A., Stathopoulos T., Bhowmick A.K., A review of wind loads on canopies attached to walls of low-rise buildings, Eng. Struct., 230, (2021); Knarud J.I., Geving S., Comparative study of hygrothermal simulations of a masonry wall, Energy Proc., 132, pp. 771-776, (2017); Allue Hoyos C., Applicability of COMSOL Multiphysics to Combined Heat, Air and Moisture Transfer Modelling in Building Envelopes, (2014); Radon J., Was K., Flaga-Maryanczyk A., Schnotale J., Experimental and theoretical study on hygrothermal long-term performance of outer assemblies in lightweight passive house, J. Build. Phys., 41, 4, pp. 299-320, (2018); Birjukovs M., Apine I., Jakovics A., Numerical models for long-term performance assessment of lightweight insulating assemblies, IOP Conf. Ser. Mater. Sci. Eng., 660, (2019); Busser T., Berger J., Piot A., Pailha M., Woloszyn M., Experimental Validation of Hygrothermal Models for Building Materials and Walls: an Analysis of Recent Trends, (2018); Ramos N.M., Delgado J.Q., Barreira E., de Freitas V.P., Hygrothermal properties applied in numerical simulation: interstitial condensation analysis, J. Build. Apprais., 5, 2, pp. 161-170, (2009); Dong W., Chen Y., Bao Y., Fang A., A validation of dynamic hygrothermal model with coupled heat and moisture transfer in porous building materials and envelopes, J. Build. Eng., 32, (2020); (2023); Tanyer A.M., Tavukcuoglu A., Bekboliev M., Assessing the airtightness performance of container houses in relation to its effect on energy efficiency, Build. Environ., 134, pp. 59-73, (2018); Rahiminejad M., Khovalyg D., Review on ventilation rates in the ventilated air-spaces behind common wall assemblies with external cladding, Build. Environ., 190, (2021); Churchill S.W., Friction-factor equation spans all fluid-flow regimes, Chem. Eng., 84, 24, (1997); Bergman T.L., Lavine A.S., Incropera F.P., Dewitt D.P., Fundamentals of Heat and Mass Transfer, (2011); Gnielinski V., New equations for heat and mass transfer in turbulent pipe and channel flow, Int. Chem. Eng., 16, 2, pp. 359-368, (1976); Xu C., Li S., Zou K., Study of heat and moisture transfer in internal and external wall insulation configurations, J. Build. Eng., 24, (2019); Belanger J., Caractérisation des transferts hygrothermiques dans une enveloppe de bâtiment en bois par la résolution d'un problème inverse par l'optimisation des propriétés physiques des matériaux, (2021); Information on the inclusion of data in the WUFI® database | WUFI (en); Simonson C.J., Salonvaara M., Ojanen T., Heat and mass transfer between indoor air and a permeable and hygroscopic building envelope: Part I - field measurements, J. Therm. Envelope Build. Sci., 28, 2, pp. 161-185, (2004); Rindler A., Vay O., Hansmann C., Muller U., Dimensional stability of multi-layered wood-based panels: a review, Wood Sci. Technol., 51, 5, pp. 969-996, (2017); Balocco C., Petrone G., Cammarata G., Numerical multi-physical approach for the assessment of coupled heat and moisture transfer combined with people movements in historical buildings, Build. Simulat., 7, 3, pp. 289-303, (2014)</t>
  </si>
  <si>
    <t>2-s2.0-85194198537</t>
  </si>
  <si>
    <t>Boudreaux P.; Venkatakrishnan S.; Iffa E.; Hun D.</t>
  </si>
  <si>
    <t>Application of reference-free natural background–oriented schlieren photography for visualizing leakage sites in building walls</t>
  </si>
  <si>
    <t>223</t>
  </si>
  <si>
    <t>109529</t>
  </si>
  <si>
    <t>10.1016/j.buildenv.2022.109529</t>
  </si>
  <si>
    <t>https://www.scopus.com/inward/record.uri?eid=2-s2.0-85137117363&amp;doi=10.1016%2fj.buildenv.2022.109529&amp;partnerID=40&amp;md5=708ac941530810b881a46aff69be7058</t>
  </si>
  <si>
    <t>Air leakage in buildings can cause health and comfort concerns for occupants and can contribute to mold growth on building materials, or in extreme conditions, rot of building materials. Unwanted air leakage through the building envelope also contributes to approximately 4 quadrillion Btu (1172 TWh) of energy consumption per year in the building sector in the United States. Locating and sealing leakage sites can improve the energy efficiency, comfort, air quality, and moisture durability of the building stock. Typical methods of finding leakage sites, such as infrared imaging and smoke tracing, rely on concurrent blower door operation, which can also measure the total leakage rate of the building. Smoke tracing can be disruptive to occupants, and infrared imaging and smoke tracing cannot measure the contribution of individual leaks to prioritize sealing efforts. In this work, an optical fluid flow imaging technique, reference-free natural background–oriented schlieren imaging, was adapted to visualize air exfiltration. This is the first step in developing a method to noninvasively locate and measure exfiltration or infiltration sites so that sealing efforts can be prioritized. Experimental results of this technique are presented, demonstrating the method's applicability to visualizing exfiltration through three common building claddings in an outdoor environment. Key variables impacting the performance of this technique when applied to building leakage are also discussed. © 2022 Elsevier Ltd</t>
  </si>
  <si>
    <t>Air leakage; Building envelope; Exfiltration; Optical flow; Schlieren</t>
  </si>
  <si>
    <t>United States; Air; Air quality; Combustion; Energy efficiency; Energy utilization; Flow of fluids; Optical flows; Solar buildings; Thermography (imaging); Air leakage; Background oriented schlieren; Building envelopes; Buildings materials; Exfiltration; In-buildings; Natural backgrounds; Reference-free; Schlieren; Schlieren photography; airflow; building; filtration; fluid flow; leakage; photography; visualization; wall; Smoke</t>
  </si>
  <si>
    <t>U, Department of Energy, R&amp;D Roadmap for Emerging Window and Building Envelope Technologies Ii Cover Photo Credits: IStockphoto, (2014); pp. 1-11, (2010); ASTM, ASTM E1186–17 Standard practices for air leakage site detection in building envelopes and air barrier systems, (2017); Peiponen K.E., Karppinen V.V.K., Varonen R., The visualization of leakage flow through building cracks by means of holographic interferometry, Opt, Laser Technol., 18, pp. 101-102, (1986); Peiponen K.E., Hartikainen T., Visualization of simulated leakage flow from buildings using a pulsed laser, Opt Laser. Eng., 10, pp. 127-132, (1989); Muehleisen R.T., Tatara E., Raman G., Chelliah K., Acoustic building infiltration measurement system, (2014); Kolsch B., Tiddens A., Schmiedt B., Estevam Schiricke J., Hoffschmidt B., Detection of air leakage in building envelopes using ultrasound technology, Symp. Whole Build. Air Leakage Test. Build. Perform. Impacts, pp. 160-183, (2019); Hun D.E., Smith B.A., Lewis L.A., Fluorescent air leakage detection system for enclosures, (2020); Smits A., Lim T., Flow Visualization Techniques and Examples, 2nd, (2012); Thorpe M.J., Kreitinger A., Seger E., Greenfield N., Wilson C., Trey P., Kreitinger S., Gordon S., Schmitt R., Roos P., Gas mapping LiDAR for large-area leak detection and emissions monitoring applications, in: 2017 Conf. Lasers Electro-Optics, CLEO 2017-Proc., pp. 1-2, (2017); Wainner R.T., Aubut N.F., Laderer M.C., Frish M.B., Scanning, standoff TDLAS leak imaging and quantification, Next-Generation Spectrosc. Technol. X, (2017); Settles G.S., Basic Concepts, Schlieren and Shadowgraph Techniques: Visualizing Phenomena in Transparent Media, pp. 25-39, (2001); Raffel M., Background-oriented schlieren (BOS) techniques, Exp. Fluids, 56, pp. 1-17, (2015); Hargather M.J., Settles G.S., Natural-background-oriented schlieren imaging, Exp. Fluids, 48, pp. 59-68, (2010); Richard H., Raffel M., Rein M., Kompenhans J., Meier G.E.A., Demonstration of the applicability of a background oriented schlieren (BOS) method, Laser Tech. Fluid Mech., Springer Berlin Heidelberg, Berlin, Heidelberg, pp. 145-156, (2002); Hayasaka K., Tagawa Y., Liu T., Kameda M., Optical-flow-based background-oriented schlieren technique for measuring a laser-induced underwater shock wave, Exp. Fluid, 57, (2016); Li Z., Murez Z., Kriegman D., Ramamoorthi R., Chandraker M., Learning to see through turbulent water, 2018 IEEE Winter Conf. Appl. Comput. Vis., pp. 512-520, (2018); Aminfar A., Cobian-Iniguez J., Ghasemian M., Rosales Espitia N., Weise D.R., Princevac M., Using background-oriented schlieren to visualize convection in a propagating wildland fire, Combust. Sci. Technol., 192, pp. 2259-2279, (2020); Zhang P., Xu Z., Wang T., Che Z., A method to measure vapor concentration of droplet evaporation based on background oriented Schlieren, Int. J. Heat Mass Tran., 168, (2021); Gomez M., Grauer S.J., Ludwigsen J., Steinberg A.M., Son S.F., Roy S., Meyer T.R., Megahertz-rate background-oriented schlieren tomography inpost-detonation blasts, Appl. Opt., 61, pp. 2444-2458, (2022); Settles G.S., Smartphone schlieren and shadowgraph imaging, Opt Laser. Eng., 104, pp. 9-21, (2018); Hayasaka K., Tagawa Y., Mobile visualization of density fields using smartphone background-oriented schlieren, Exp. Fluid, 60, (2019); Bauknecht A., Merz C.B., Raffel M., Landolt A., Meier A.H., Blade-tip vortex detection in maneuvering flight using the background-oriented schlieren technique, J. Aircraft, 51, pp. 2005-2014, (2014); Hargather M.J., Settles G.S., Background-oriented schlieren visualization of heating and ventilation flows: HVAC-BOS, HVAC R Res., 17, pp. 771-780, (2011); Hendiger J., Chludzinska M., Zietek P., Assessment of the background oriented schlieren application in testing the temperature limit of an axisymmetric ventilation jet, J. Build. Eng., 35, (2021); Fleet D.J., Weiss Y., Optical Flow Estimation, Handb. Math. Model. Comput. Vis., (2006); Chen J.G., Wadhwa N., Cha Y.-J., Durand F., Freeman W.T., Buyukozturk O., Structural Modal Identification Through High Speed Camera Video: Motion Magnification, Topics in Modal Analysis I, 7, pp. 191-197, (2014); Xue T., Rubinstein M., Wadhwa N., Levin A., Durand F., Freeman W.T., Refraction wiggles for measuring fluid depth and velocity from video’’ lecture notes in computer science (including subseries lecture notes in artificial intelligence and lecture notes in bioinformatics), (2014); Kindler K., Goldhahn E., Leopold F., Raffel M., Recent developments in background oriented Schlieren methods for rotor blade tip vortex measurements, Exp. Fluid, 43, pp. 233-240, (2007); Raffel M., Tung C.Y., Richard H., Yu Y.H., Meier G.E.A., Background oriented stereoscopic schlieren (BOSS) for full-scale helicopter vortex characterization, 9th Int. Symp. Flow Vis. Heriot-Watt Univ. Edinburgh, UK, (2000); Bauknecht A., Merz C.B., Raffel M., Landolt A., Meier A.H., Blade-Tip vortex detection in maneuvering flight using the background-oriented schlieren technique, J. Aircraft, 51, pp. 2005-2014, (2014); Haralick R.M., Dinstein I., Shanmugam K., Textural features for image classification, IEEE Trans. Syst. Man Cybern. SMC-3, pp. 610-621, (1973); Moisy F., PIVmat 4.20, (2020); Schneider C.A., Rasband W.S., Eliceiri K.W., NIH Image to ImageJ: 25 years of image analysis, Nat. Methods, 9, pp. 671-675, (2012); Cabrera J., GMLC Texture Analyzer, (2005); EIA, Residential Energy consumption survey (RECS), 2015 RECS Survey Data, Table HC2.1, (2015); EIA C., Buildings energy consumption survey (CBECS), 2012 CBECS Survey Data, Table B1, (2012); Gojani A.B., Kamishi B., Obayashi S., Measurement sensitivity and resolution for background oriented schlieren during image recording, J. Vis., 16, pp. 201-207, (2013); Becher L., Voelker C., Rodehorst V., Kuhne M., Background-oriented schlieren technique for two-dimensional visualization of convective indoor air flows, Opt. Lasers Eng., 134, (2020); Buckner B.D., Trolinger J.D., L'Esperance D., Digital focusing schlieren imaging, Appl. Adv. Opt. Metrol. Solut., SPIE, pp. 59-66, (2015); L'Esperance D., Buckner B.D., Focusing schlieren systems using digitally projected grids, Appl. Opt. Metrol. II, SPIE, pp. 204-213, (2017)</t>
  </si>
  <si>
    <t>2-s2.0-85137117363</t>
  </si>
  <si>
    <t>Li Y.; Dang X.; Xia C.; Ma Y.; Ogura D.; Hokoi S.</t>
  </si>
  <si>
    <t>The effect of air leakage through the air cavities of building walls on mold growth risks</t>
  </si>
  <si>
    <t>Energies</t>
  </si>
  <si>
    <t>1177</t>
  </si>
  <si>
    <t>10.3390/en13051177</t>
  </si>
  <si>
    <t>https://www.scopus.com/inward/record.uri?eid=2-s2.0-85081576539&amp;doi=10.3390%2fen13051177&amp;partnerID=40&amp;md5=6da85fbebc655f57eb141e92f059919d</t>
  </si>
  <si>
    <t>Mold growth poses a high risk to a large number of existing buildings and their users. Air leakage through the air cavities of the building walls, herein gaps between walls and air conditioner pipes penetrating the walls, may increase the risks of interstitial condensation, mold growth and other moisture–related problems. In order to quantify the mold growth risks due to air leakage through air cavity, an office room in a historical masonry building in Nanjing, China, was selected, and its indoor environment has been studied. Fungi colonization can be seen on the surface of air conditioner pipes in the interior side near air cavity of the wall. Hygrothermometers and thermocouples logged interior and exterior temperature and relative humidity from June 2018 to January 2020. The measured data show that in summer the outdoor humidity remained much higher than that of the room, while the temperature near the air cavity stays lower than those of the other parts in the room. Hot and humid outdoor air may condense on the cold wall surface near an air cavity. A two–dimensional hygrothermal simulation was made. Air leakage through the air cavities of walls proved to be a crucial factor for mold growth. © 2020 by the authors.</t>
  </si>
  <si>
    <t>Air cavity; Air–conditioner; Building walls; Mold growth risks; Summer condensation</t>
  </si>
  <si>
    <t>Air conditioning; Condensation; Domestic appliances; Molds; Thermocouples; Air cavity; Building walls; Hygrothermal simulation; Indoor environment; Masonry building; Mold growth; Nanjing , China; Temperature and relative humidity; Walls (structural partitions)</t>
  </si>
  <si>
    <t>Hens H., IEA Annex 14: Condensation and energy, J. Build. Phys., 3, pp. 261-273, (1992); Adan O., Brocken H., Carmeliet J., Determination of liquid water transfer properties of porous building, materials and development of numerical assessment methods: Introduction to the EC, Hamstad project, J. Build. Phys., 27, pp. 253-260, (2004); Becker R., Condensation and mold growth in dwellings—parametric and field study, Build. Environ., 19, pp. 243-250, (1984); Guidelines on Indoor Air Quality: Dampness and Mold, (2009); Hirota K., Shibuya S., Sakamoto S., Kashima S., A methodology of estimation on air pollution and its health effects in large Japanese cities, Air Quality—Monitoring and Modeling, (2012); Development of WHO Guidelines for Indoor Air Quality: Dampness and Mold; WHO: Report on A Working Group Meeting Bonn, (2007); Indoor air pollutants: Exposure and health effects, Working Group on Assessment and Monitoring of Exposure to Indoor Pollutants, (1983); Sharpe R.A., Bearman N., Thornton C.R., Husk K., Osborne N.J., Indoor fungal diversity and asthma: A meta–analysis and systematic review of risk factor, J. Allergy Clin. Immunol., 135, pp. 110-122, (2015); Biagini J.M., LeMasters G.K., Ryan P.H., Levin L., Reponen T., Bernstein D., Villareal M., Khurana H., Burkle J., Environmental risk factors of rhinitis in early infancy, Pediatric Allergy Immunol, 17, pp. 278-284, (2010); Crook B., Burton N.C., Indoor molds, sick building syndrome and building related illness, Fungal Biol. Rev., 24, pp. 106-113, (2010); Mudarri D., Fisk W.J., Public health and economic impact of dampness and mold, Indoor Air, 17, pp. 226-235, (2007); Lu C., Deng Q., Li Y., Sundell J., Norback D., Outdoor air pollution, meteorological conditions and indoor factors in dwellings in relation to sick building syndrome (SBS) among adults in China, Sci. Total Environ., 560-561, pp. 186-196, (2016); Adan O., On the Fungal Defacement of Interior Finishes, (1994); Becker R., Puterman M., Verhutung von Schimmelbildung in Gebauden. Teil 2: Einflus der Oberflachenmaterialien, Bauphysik, 4, pp. 107-110, (1987); Grinbergs L., Hyppel A., Hoglund I., Ottoson G., Wet–room wall systems—Mold resistance, Proceedings of the International Symposium Energy Efficient Buildings (Design, Performance and Operation) of the CIB Working Commission W67 “Energy Conservation in the Built Environment” and IEA–SHC Working Task Group XIII “Low Energy Buildings”, (1993); Krieger J., Jacobs D.E., Ashley P.E., Baeder A., Chew C.L., Dearborn H., Hynes H.P., Miller J.D., Morley R., Rabito F., Housing interventions and control of asthma–related indoor biologic agents: A review of the evidence, J. Public Health Manag. Pract., 16, pp. s11-s20, (2010); Vereecken E., Roels S., Review of mold prediction models and their influence on mold risk evaluation, Build. Environ., 51, pp. 296-310, (2012); Ayerst G., The effect of moisture and temperature on growth and spore germination in some fungi, J. Stored Prod. Res., 5, pp. 127-141, (1969); Smith S.L., Hill S.T., Influence of temperature and water activity on germination and growth of Aspergillus restrictus and A. Versicolor, Trans. Br. Mycol. Soc., 79, pp. 558-560, (1982); Sedlbauer K., Krus M., Zillig W., Et al., Mold growth prediction by computational simulation, Journal of the Society of Materials Science Japan, 42, pp. 1265-1270, (2014); Clarke J.A., Johnstone C.M., Kelly N.J., McLean R.C., Anderson J.A., Rowan N.J., A technique for the prediction of the conditions leading to mold growth in buildings, Build. Environ., 34, pp. 515-521, (1999); Rowan N., Johnstone C., Craig R., Anderson J., Clarke J., Prediction of toxigenic fungal growth in buildings by using a novel modelling system, Appl. Environ. Microbiol., 65, pp. 4814-4821, (1999); Ojanen T., Peuhkuri R., Viitanen H., Lahdesmaki K., Vinha J., Salminen K., Classification of material sensitivity: A new approach for mold growth modeling, Proceedings of the 9th Nordic Symposium on Building Physics, pp. 867-874, (2011); Abe K., Nagao Y., Nakada T., Sakuma S., Assessment of indoor climate in an apartment by use of a fungal index, Appl. Environ. Microbiol., 62, pp. 959-963, (1996); Hukka A., Viitanen H.A., A mathematical model of mold growth on wooden material, Wood Sci. Technol., 33, pp. 475-485, (1999); Sedlbauer K., Prediction of Mold Fungus Formation on the Surface of and Inside Building Components, (2014); Guo-Jie C., You-Ming C., Xiang-Wei L., Xing-Guo G., Mold germination risk evaluation inside the hygroscopic wall in south of China, J. Saf. Environ (in Chinese), 17, pp. 730-734, (2017); Masaru A., Moisture Stress of Wind–Driven Rain on Building Enclosures, (2009); Franzoni E., Rising damp removal from historical masonries: A still open challenge, Constr. Build. Mater., 54, pp. 123-136, (2014); Biseniece E., Zogla G., Kamenders A., Purvins R., Kass K., Vanaga R., Blumberga A., Thermal performance of internally insulated historic brick building in cold climate: A long term case study, Energy Build, 152, pp. 577-586, (2017); Walker R., Pavia S., Thermal and moisture monitoring of an internally insulated historic brick wall, Build. Environ., 133, pp. 178-186, (2018); Harrestrup M., Svendsen S., Full–scale test of an old heritage multi–storey building undergoing energy retrofitting with focus on internal insulation and moisture, Build. Environ., 85, pp. 123-133, (2015); Xinyuan D., Shuichi H., Yonghui L., Changchang X., Ma Y., Evaluation of mold growth risks due to air leakage through air cavity of the building walls, Proceedings of the MATEC Web of Conferences, 282, (2019); Zhijian L., Shengyuan M., Guoqing C., Chong M., Bao-Jie H., Distribution characteristics, growth, reproduction and transmission modes and control strategies for microbial contamination in HVAC systems: A literature review, Energy Build, 177, pp. 77-95, (2018); Zhijian L., Haotian N., Rui R., Guoqing C., Bao-Jie H., Qihong D., An experiment and numerical study of resuspension of fungal spore particles from HVAC ducts, Sci. Total Environ., 708, (2020); Ebbehoj N.E., Meyer H.W., Wurtz H., Suadicani P., Valbjorn O., Sigsgaard T., Gyntelberg F., Molds in floor dust, building–related symptoms, and lung function among Male and female schoolteachers, Indoor Air, 15, pp. 7-16, (2005); Karagiozis H., Impact of Air Leakage on the Thermal and Moisture Performance of the Building Envelope, (2001); Synnefa A., Vasilakopoulou K., Masi R.F.D., Kyriakodis G.E., Londorfos V., Mastrapostoli E., Theoni Karlessia T., Santamouris M., Transformation through renovation: An energy efficient retrofit of an apartment building in Athens, Procedia Eng, 180, pp. 1003-1014, (2017); Ri N., Shengmao L., Zhigang S., Linxia G., Evaluating energy loss through recessed lighting fixtures (RLF) in residential buildings through a case study, Proceedings of the Computing in Civil and Building Engineering, 2014 International Conference on Computing in Civil and Building Engineering, (2014); Gaelle G., Geoffroy H., Ondarts M., Lena M., Woloszyn M., Modelling the impact of multizone airleakage on ventilation performance and indoor air quality in low–energy homes, Build. Simul., 2, pp. 1-19, (2019); Coulter J., Davis B., Dastur C., Malkin-Weber M., Dixon T., Liabilities of vented crawl spaces and their impacts on indoor air quality in southeastern U.S. Homes, Proceedings of Clima 2007 Well Being Indoors (9th REHVA World Congress): The Influence of Blinds on Temperatures and Air Flows within Ventilated, (2007); Prahl D., Shaffer M., Moisture Risk in Unvented Attics Due to Air Leakage Paths, (2014); Matsumoto M., Simultaneous Heat and Moisture Transfer and Moisture Accumulation in Buildings, (1978); Yonghui L., Daisuke O., Shuichi H., Takeshi I., Effects of emergency preservation measures following excavation of mural paintings in Takamatsuzuka Tumulus, J. Build. Phys., 36, pp. 117-139, (2012); Xie H., Analysis of Performance Degradation of the Chinese Traditional Blue Bricks Based on the Theory of Heat and Moisture Transfer, (2015); Shuichi H., Tetsuro I., Nitta K., Building Environment Engineering Ⅱ: Heat, Moisture and Ventilation, 37, (2002); Abe K., Assessment of home environments with a fungal index using hydrophilic and xerophilic fungi as biologic sensors, Indoor Air, 22, pp. 173-185, (2012)</t>
  </si>
  <si>
    <t>2-s2.0-85081576539</t>
  </si>
  <si>
    <t>Wooden beam ends in combination with interior insulation: The importance of an airtight sealing</t>
  </si>
  <si>
    <t>Energy Procedia</t>
  </si>
  <si>
    <t>132</t>
  </si>
  <si>
    <t>10.1016/j.egypro.2017.10.003</t>
  </si>
  <si>
    <t>https://www.scopus.com/inward/record.uri?eid=2-s2.0-85033401764&amp;doi=10.1016%2fj.egypro.2017.10.003&amp;partnerID=40&amp;md5=16f4eac52feee04fe62e4c63d1052e38</t>
  </si>
  <si>
    <t>The applicability of interior insulation when wooden beam ends are embedded in the wall is still a topic of debate, as interior insulation may imply an enlarged risk on wood decay. This paper shows the impact of convective moisture transport on the hygrothermal performance of the wooden beams. In a hot box-cold box experiment, a vapour open capillary active and two vapour tight interior insulation systems are studied together with a non-insulated reference wall. For each insulation system two configurations are analysed: one with and one without an airtight sealing between beam and insulation. The relative humidity at the beams without a sealing shows to be higher than found for those with an airtight sealing. This is especially true for the wall insulated with the capillary active system. Additionally, an overpressure is shown to influence the convective moisture transport and air flow around the wooden beams. © 2017 The Authors. Published by Elsevier Ltd.</t>
  </si>
  <si>
    <t>airtight sealing; convective moisture transport; hot box-cold box experiment; Interior insulation; wooden beam ends</t>
  </si>
  <si>
    <t>Decay (organic); Moisture; Refrigerating machinery; Walls (structural partitions); Wooden beams and girders; Active systems; Cold boxes; Hygrothermal performance; Insulation system; Moisture transport; Open capillary; Overpressure; wooden beam ends; Insulation</t>
  </si>
  <si>
    <t>Vereecken E., Roels S., A comparison of the hygric performance of interior insulation systems: A hot box-cold box experiment, Energy Build, 80, pp. 37-44, (2014); Vereecken E., Van Gelder L., Janssen H., Roels S., Interior insulation for wall retrofitting-A probabilistic analysis of energy savings and hygrothermal risks, Energy Build, 89, pp. 231-244, (2015); Langmans J., Klein R., Roels S., Hygrothermal risks of using exterior air barrier systems for highly insulated light weight walls: A laboratory investigation, Build Environ, 56, pp. 192-202, (2012); Dietsch P., Franke S., Franke B., Methods to determine wood moisture content and their applicability in monitoring concepts, J Civil Struct Health Monit, 5, pp. 115-127, (2015); Sedlbauer K., (2001); Carl C.G., Highley T.L., Decay of wood and wood-based products above ground in buildings, J Test Eval, 27, 2, pp. 150-158, (1999)</t>
  </si>
  <si>
    <t>2-s2.0-85033401764</t>
  </si>
  <si>
    <t>Bomberg M.; Yu S.; Zhang X.</t>
  </si>
  <si>
    <t>Trends in physics of building enclosures: Integration of testing and modelling for a real time hygrothermal performance analysis</t>
  </si>
  <si>
    <t>7th International Symposium on Heating, Ventilating and Air Conditioning - Proceedings of ISHVAC 2011</t>
  </si>
  <si>
    <t>https://www.scopus.com/inward/record.uri?eid=2-s2.0-84866306086&amp;partnerID=40&amp;md5=14e4fdcead9cdc6e70a2cfe07c43581d</t>
  </si>
  <si>
    <t>In contrast to the structural engineering where time-dependent variables are infrequent, most of environmental concerns involve heat, air and moisture transports and requires hourly input of climatic data into the computerized model of calculations. Therefore, to determine hygrothermal performance of building envelope under given climate and service conditions one needs to use advanced hygrothermal (HT, also called HAM) model with input of hourly weather data and material characteristics expressed as a function of the material's moisture content. While we are in the middle of developing an integrated testing and modelling approach for heat transfer though a moist material, engineering problems related to thermal upgrade of the existing buildings forces us to expand the models to include air flows into such modelling. Air flows, particularly those cause by wind pressure, may have significant effect on energy but small effect on moisture balance in the enclosure if the air flow path is short (nearly across the wall) but those related to convective movement of air can displace large amounts of moisture and create mold or durability problems. The testing needed for model verification must now include assessment of air flow path and methodology for field testing. The next step in the project complexity is introduced by coupling of the flows in the air cavity with HVAC devices to create ventilated, thermal upgrade system. To overcome some of these difficulties 8 research institutes from five counties are starting a collaborative research program.</t>
  </si>
  <si>
    <t>Air and moisture transfer; Heat; Hygrothermal modelling; Integrated testing and modelling; Material characteristics</t>
  </si>
  <si>
    <t>Air; Climate models; Enclosures; Integration; Models; Moisture control; Ventilation; Wind effects; Air and moisture transfer; Air cavity; Air flow; Building enclosure; Climatic data; Collaborative research; Engineering problems; Environmental concerns; Field testing; Heat; Hygrothermal; Hygrothermal performance; Material characteristics; Model verification; Moisture balance; Moisture transport; Project complexity; Real time; Research institutes; Service conditions; Time-dependent variables; Weather data; Wind pressures; Air conditioning</t>
  </si>
  <si>
    <t>Bomberg M., Moisture Flow Through Porous Building Materials, (1974); Bomberg M., Thorsell T., Integrated methodology for evaluation of energy performance of the building enclosures, Journal of Building Physics, 32, (2008); Bomberg M., A Concept of Capillary Active, Dynamic Insulation Integrated with Heating. Cooling and Ventilation, Air Conditioning System, (2010); Carmeliet J., Roels S., Determination of the isothermal moisture transport properties of porous building materials, Journal of Building Physics, 24, pp. 183-210, (2001); Thorsell T., Bomberg M., Integrated methodology for evaluation of energy performance of the building enclosures, Journal of Building Physics, 32, (2008); Pazera M., Model Based Characterization of Construction Materials for Hygrothermal Performance Evaluation, (2007); Lingo Jr. L.E., Extending the Passive House Approach with Geosolar Exergy and Storage Technology: A Vision for Reducing Purchased Energy Use in Existing and New Construction, (2012); Lstiburek J.W., Pressnail K., Timusk J., Evaluating the air pressure response of multizonal buildings, Journal of Building Physics, 25, pp. 299-320, (2002); Salonvaara M., Karagiozis A., Holm A., Stochastic building envelope modeling - The influence of material properties, Proceedings for Performance of Exterior Envelopes of Whole Buildings VIII: Integration of Building Envelopes, (2001); Simonson C.J., Salonvaara M., Ojanen T., Heat and mass transfer between indoor air and a permeable and hygroscopic building envelope, Part i - Field measurements, Journal of Building Physics, 28, pp. 63-101, (2004); Simonson C.J., Salonvaara M., Ojanen T., Heat and mass transfer between indoor air and a permeable and hygroscopic building envelope, Part II - Verification and numerical studies, Journal of Building Physics, 28, (2004); Simonson C.J., Salonvaara M., Ojanen T., Moisture performance of an airtight, vapor permeable building envelope in a cold climate, Journal of Building Physics, 28, pp. 205-226, (2005)</t>
  </si>
  <si>
    <t>2-s2.0-84866306086</t>
  </si>
  <si>
    <t>Younes C.; Shdid C.A.; Bitsuamlak G.</t>
  </si>
  <si>
    <t>Air infiltration through building envelopes: A review</t>
  </si>
  <si>
    <t>35</t>
  </si>
  <si>
    <t>10.1177/1744259111423085</t>
  </si>
  <si>
    <t>https://www.scopus.com/inward/record.uri?eid=2-s2.0-84856030051&amp;doi=10.1177%2f1744259111423085&amp;partnerID=40&amp;md5=6b5498b6ae96c1a2d5245a9cbad6d9f1</t>
  </si>
  <si>
    <t>Air leakage through the building envelope into the building interiors has a considerable impact on the energy loads and consequently energy demand and energy costs of buildings. This phenomenon known as infiltration happens through various openings and venues in the building envelope varying from large openings such as doors and windows to minute cracks and crevices. In addition to impacting building energy loads, infiltration impacts indoor air quality and can result in moisture accumulation problems in the building envelope. A generalized review of infiltration that includes evaluation techniques and models, quantification, and interaction with other heat transfer phenomena is presented in this article. © 2011 The Author(s).</t>
  </si>
  <si>
    <t>air change; air leakage; airflow; building envelope; building physics; computational fluid dynamics; heat recovery; infiltration; multizone; single zone</t>
  </si>
  <si>
    <t>Air quality; Computational fluid dynamics; Energy management; Indoor air pollution; Infiltration; Seepage; Waste heat; Waste heat utilization; air leakage; airflow; building envelope; building physics; Computational fluid; multizone; single zone; Solar buildings</t>
  </si>
  <si>
    <t>Allard F., Herrlin M., Wind-induced ventilation, ASHRAE Transactions, 95, 2, pp. 722-728, (1989); 2009 ASHRAE Handbook-Fundamentals, pp. 161-1636, (2009); 2007 ASHRAE Handbook-HVAC Applications, pp. 431-4312, (2007); Anderlind G., Energy consumption due to air infiltration, Proceedings of the 3rd ASHRAE/DOE/BTECC Conference on Thermal Performance of Exterior Envelopes of Buildings; Arasteh D.K., Selkowitz S., Hartman J., A versatile procedure for calculating heat transfer through windows, Proceedings of the 3rd ASHRAE/DOE/BTECC Conference on Thermal Performance of Exterior Envelopes of Buildings; Arquis E., Langlais C., What scope for dynamic insulation?, Batiment International Building Research and Practice, 19, pp. 84-93, (1986); Bailly N.R., Dynamic systems and energy conservation in buildings, ASHRAE Transactions, 93, PART 1, pp. 447-466, (1987); Beyea Jan, Dutt Gautam, Woteki Thomas, Critical significance of attics and basements in the energy balance of Twin Rivers townhouses, Energy and Buildings, 1, 3, pp. 261-269, (1978); Bhattacharyya S., Modeling and the phenomenon of infiltration heat exchange, International Journal of Power and Energy Systems, 19, 1, pp. 87-91, (1999); Bhattacharyya S., Claridge D.E., The energy impact of air leakage through insulated walls, Journal of Solar Energy Engineering, 1, pp. 451-458, (1992); Bhattacharyya S., Claridge D.E., Energy impact of air leakage through insulated walls, Journal of Solar Energy Engineering, 117, 3, pp. 167-172, (1995); Blomsterberg A.K., Harrje D.T., Approaches to evaluation of air infiltration energy losses in buildings, ASHRAE Transactions, 85, 1, pp. 797-815, (1979); Bobenhausen W., Simplified Design of HVAC Systems, pp. 63-93, (1994); Brownell C., Infiltration Heat Recovery, (2002); Buchanan C.R., Sherman M.H., CFD simulation of infiltration heat recovery, Proceedings of the 19th AIVC Annual Conference on Ventilation Technologies in Urban Areas; Buchanan C.R., Sherman M.H., A Mathematical Model for Infiltration Heat Recovery, (2002); Burns P., Deru M., Infiltration and Natural Ventilation Model for Whole-Building Energy Simulation of Residential Buildings NREL/CP-550-33698, (2003); Caffey G.E., Residential air infiltration, ASHRAE Transactions, 85, pp. 919-926, (1979); Claesson J., Hellstrom G., Forced convective-diffusive heat flow in insulations: A new analytical technique applied to air leakage through a slit, Journal of Building Physics, 18, pp. 216-228, (1995); Claridge D.E., Bhattacharyya S., The measured energy impact of 'infiltration' in a test cell, ASME Journal of Solar Energy Engineering, 112, pp. 132-139, (1990); Claridge D.E., Jeon H., Bida M., A comparison of traditional degree-day and variable-base degree-day prediction with measured consumption of 20 houses in the Denver area, ASHRAE Transactions, 91, 2, pp. 865-874, (1985); Claridge D.E., Liu M., The measured energy impact of infiltration in an outdoor test cell, Journal of Solar Energy Engineering, Transactions of the ASME, 118, 3, pp. 162-167, (1996); Claridge D.E., Liu M., Bhattacharyya S., Impact of air infiltration in frame walls on energy loads: Taking advantage of the interaction between infiltration, solar radiation, and conduction, ASTM Special Technical Publication 1255, pp. 178-196, (1995); Clarke J.A., Dempster W.M., Negrao C.O.R., The Implementation of A Computational Fluid Dynamics Algorithm Within ESP-r System. Building Simulation 95 Coference, Madison, Wisconsin, USA, August 14-16., (1995); Cole J.T., Zawacki T.S., Elkins R.H., Zimmer J.W., MacRiss R.A., Application of a generalized model of air infiltration to existing homes, ASHRAE Transactions, 86, 2, (1980); Crall C.P., Development of the air infiltration model for the energy performance design system, ASHRAE Transactions, 89, 2 PART, pp. 201-210, (1983); Desmarais G., Derome D., Fazio P., Mapping of air leakage in exterior wall assemblies, Journal of Thermal Envelope and Building Science, 24, 2, pp. 132-154, (2000); Dickerhoff D.J., Grimsrud D.T., Lipshutz R.D., Component leakage testing in residential buildings, Report LBL 14735, Proceedings of the American Council for An Energy-Efficient Economy, 1982 Summer Study, Santa Cruz, CA; Elkins R.H., Wensman C.E., Natural ventilation of modern tightly constructed homes, Paper Presented at the American Gas Association-Institute of Gas Technology, Conference on Natural Gas Research and Technology; Etheridge D.W., Modeling of air infiltration in single and multi-cell buildings, Energy and Buildings, 10, 3, pp. 185-192, (1988); Etheridge D.W., Alexander D.K., The British gas multi-cell model for calculating ventilation, ASHRAE Transactions, 86, 2, (1980); Feustel H.E., Kendon V.M., Infiltration models for multicellular structures-a literature review, Energy and Buildings, 8, 2, pp. 123-136, (1985); Fraisse G., Johannes K., Trillat-Berdal V., Achard G., The use of a heavy internal wall with a ventilated air gap to store solar energy and improve summer comfort in timber frame houses, Energy and Buildings, 38, 4, pp. 293-302, (2006); Fraisse G., Trillat-Berdal V., Souyri B., Amélioration du confort d'été et réduction des besoins de chauffage dans les maisons à ossature bois, Proceedings of IBPSA France 2006; Fuller L.R., How to figure heating for store entrances, Heating, Piping and Air Conditioning, 21, 4, pp. 79-81, (1949); Hagentoft C.-E., Harderup E., Moisture conditions in a north facing wall with cellulose loose fill insulation: Constructions with and without vapor retarder and air leakage, Journal of Thermal Envelope and Building Science, 19, 1, pp. 228-243, (1996); Haghighat F., Li H., Building airflow movement - Validation of three airflow models, Journal of Architectural and Planning Research, 21, 4, pp. 331-349, (2004); Harrje D.T., Born G.J., Cataloging air leakage components in houses, Proceedings of the American Council for An Energy-Efficient Economy, 1982 Summer Study, Santa Cruz, CA; Harrje J., Dutt G., Beyea J., Locating and Eliminating Obscure but Major Energy Losses in Residential Housing, ASHRAE Transactions, 85, 2, pp. 521-559, (1979); Herrlin M.K., MOVECOMP: A static-multicell-airflow-model, ASHRAE Transactions, 91, 2 B, (1985); Hill J.E., Kusuda T., Presented at the 1975 ASHRAE Annual Meeting, ASHRAE; Jackman P., Heat loss in buildings as a result of infiltration, Building Services Engineer, 42, pp. 6-15, (1974); Jayaraman B., Lorenzetti D., Gadgil A., Coupled Model for Simulation of Indoor Airflow and Pollutant Transport. Lawrence Berkeley National Laboratory, Berkeley, CA, USA., (2004); Jokisalo J., Kalamees T., Kurnitski J., Eskola L., Jokiranta K., Ninha J., A comparison of measured and simulated air pressure conditions of a detached house in a cold climate, Journal of Building Physics, 32, 1, pp. 67-89, (2008); Jordon R.C., Erickson G.A., Leonard R.R., Infiltration Measurements in Two Research Houses, ASHRAE Report, 69, (1963); Kalamees T., Kurnitski J., Korpi M., Vinha J., The distribution of the air leakage places and thermal bridges of different types of detached houses and apartment buildings, Proceedings of the 2nd European Blower Door Symposium; Kirkwood R.C., Fuel consumption in industrial buildings, Building Services Engineer, 45, 3, pp. 23-31, (1977); Klems J.H., Methods of estimating air infiltration through windows, Energy and Buildings, 5, 4, pp. 243-252, (1983); Kronvall J., Correlating Pressurization and Infiltration Rate Data Tests of A Heuristic Model, (1980); Liddament M.W., Air Infiltration Calculation Techniques-An Application Guide, (1986); Liddament M., Allen C., The Validation and Comparison of Mathematical Models of Air Infiltration, (1983); Liu M., Thermal Techniques in Buildings, pp. 385-390, (1987); Liu M., Study of Air Infiltration Energy Consumption, (1992); Lstiburek J., Pressnail K., Timusk J., Air pressure and building envelopes, Journal of Thermal Envelope and Building Science, 26, 1, pp. 53-91, (2002); McQuiston F.C., Parker J.D., Spitler J.D., Heating, Ventilating and Air Conditioning-Analysis and Design, (2000); Min T.C., Auburn A., Winter infiltration through swinging-door entrances in multi-story buildings, Heating, Piping and Air Conditioning, 30, 2, pp. 121-128, (1958); Mora L., Gadgil A.J., Wurtz E., Comparing zonal and CFD model predictions of isothermal indoor airflows to experimental data, Indoor Air, 13, 2, pp. 77-85, (2003); Orme M.S., Applications of the air infiltration and ventilation center's numerical database, Proceedings of the 15th AIVC Conference; Orme M., Liddament M.W., Wilson A., Numerical Data for Air Infiltration &amp; Natural Ventilation Calculations, (1998); Negrao C.O.R., Integration of computational fluid dynamics with building thermal and mass flow simulation, Energy and Buildings, 27, 2, pp. 155-165, (1998); Nevrala D.J., Etheridge D.W., Natural ventilation in well-insulated houses, Proceedings of International Centre for Heat and Mass Transfer, International Seminar; NIST estimates nationwide energy impact of air leakage in U.S. buildings, Journal of Research of the NIST, 101, 3, (1996); Persily A., Understanding Air Infiltration in Homes, (1982); Persily A.K., Grot R.A., Measured Air Leakage of Buildings, (1986); Powell F., Moncef K., Tuluca A., Air movement influence on the effective thermal resistance of porous insulation: A literature survey, Journal of Building Physics, 12, pp. 239-251, (1989); Rantala J., Leivo V., Heat, air, and moisture control in slab-on-ground structures, Journal of Building Physics, 32, 4, pp. 335-353, (2009); Reeves G., McBride M.F., Sepsy C., Air infiltration model for residences, ASHRAE Transactions, 85, 1, pp. 667-677, (1979); Schutrum L.F., Ozisik N., Humphreys C.M., Baker J.T., Air infiltration through revolving doors, ASHRAE Journal, 3, 11, (1961); Selkowitz S.E., Thermal performance of insulating window systems, ASHRAE Transaction, 85, 2, pp. 669-685, (1979); Shaw C.Y., A correlation between air infiltration and air tightness for a house in a developed residential area, ASHRAE Transactions, 87, 2, (1981); Sherman M.H., Estimation of infiltration from leakage and climate indicators, Energy and Buildings, 10, 1, pp. 81-86, (1987); Sherman M.H., Superposition in infiltration modeling, Indoor Air, 2, pp. 101-114, (1992); Sherman M.H., Grimsrud D.T., Infiltration-pressurization correlation: Simplified physical modeling, ASHRAE Transactions, 86, 2, (1980); Silberstein A., Hens H., Effects of air and moisture flows on thermal performance of insulations in ventilated roofs and walls, Journal of Building Physics, 19, pp. 367-385, (1996); Simpson A.M., Infiltration characteristics of entrance doors, Refrigerating Engineering, 31, 6, pp. 345-350, (1936); Stam J., Stable Fluids. Proceedings of the 26th International Conference on Computer Graphics and Interactive Techniques, SIGGRAPH'99, Los Angeles, (1999); Stamou A., Katsiris I., Verification of a CFD model for indoor airflow and heat transfer, Building and Environment, 41, 9, pp. 1171-1181, (2006); Steeman H.J., Janssens A., Carmeliet J., De Paepe M., Modeling indoor air and hygrothermal wall interaction in building simulation: Comparison between CFD and a well-mixed zonal model, Building and Environment, 44, 3, pp. 572-583, (2009); Tamura G.T., Wilson A.G., Air Leakage and Pressure Measurements on Two Occupied Houses, 20, (1964); Heating and Ventilating, 34, 8, pp. 2-2; Vatistas G.H., Chen D., Chen T.-F., Lin S., Prediction of infiltration rates through an automatic door, Applied Thermal Engineering, 27, 2-3, pp. 545-550, (2007); Walker L.S., Wilson D.J., Evaluating models for superposition of wind and stack effect in air infiltration, Building and Environment, 28, 2, pp. 201-210, (1993); Walker I.S., Wilson D.J., Field validation of algebraic equations for stack and wind driven air infiltration calculations, International Journal of HVAC&amp;R Research, 4, 2, pp. 119-140, (1998); Wallenten P., Dynamic Insulation, Analysis and Field Measurements, (1996); Walton G.N., Computer algorithm for predicting infiltration and interrom airflows, ASHRAE Transactions, 90, PART 1B, pp. 601-610, (1984); Walton G., Dols W.S., CONTAM 2.1 Supplemental User Guide and Program Documentation, (2003); Wang L., Chen Q., Validation of a coupled multizone-CFD program for building airflow and contaminant transport simulations, HVAC and R Research, 13, 2, pp. 267-281, (2007); Warren P., Simple method of predicting infiltration rates in housing, Energy Conservation in the Built Environment. Proceedings of CIB W67 3rd International Symposium; Warren P.R., Webb B.C., The relationship between tracer gas and pressurization techniques in dwellings, Proceedings of the 1st IEA Conference of the Air Infiltration Centre; Weidt J.L., Weidt J., Field Air Leakage of Newly Installed Residential Windows, (1980); Weidt J.L., Weidt J., Selkowitz S., Field Air Leakage of Newly Installed Residential Windows, (1979); Wilson D.J., Kiel D.E., Gravity driven counterflow through an open door in a sealed room, Building and Environment, 25, 4, pp. 379-388, (1990); Yuill G.K., Impact of High Use Automatic Doors on Infiltration, ASHRAE Research Project 763-TRP, (1996); Yuill G.K., Upham R., Chen H., Air leakage through automatic doors, ASHRAE Transactions, 106, 2, pp. 145-160, (2000); Zmeureanu R., Stathopoulos T., Schopmeijer M.E.D., Siret F., Payer J., Measurements of air leakage through revolving doors of institutional building, Journal of Architectural Engineering, 7, 4, pp. 131-137, (2001); Zuo W., Chen Q., Fast and informative flow simulations in a building by using fast fluid dynamics model on graphics processing unit, Building and Environment, 45, 3, pp. 747-757, (2010)</t>
  </si>
  <si>
    <t>2-s2.0-84856030051</t>
  </si>
  <si>
    <t>On the drying potential of cavity ventilation behind brick veneer cladding: A detailed field study</t>
  </si>
  <si>
    <t>10.1016/j.buildenv.2017.06.047</t>
  </si>
  <si>
    <t>https://www.scopus.com/inward/record.uri?eid=2-s2.0-85021838537&amp;doi=10.1016%2fj.buildenv.2017.06.047&amp;partnerID=40&amp;md5=5869bc6c768bfdff58cb3840e4b5a107</t>
  </si>
  <si>
    <t>A qualitative and durable built environment requires an effective moisture control strategy. Moisture related problems can have an impact on the health of inhabitants or even jeopardize the building's structural integrity. Knowledge of the hygrothermal response and the drying potential of the current building enclosures under environmental loads is therefore crucial. In the current study detailed field experiments have been conducted in Belgium to study cavity ventilation behind brick veneer cladding. A simplified version of a South-West oriented cavity wall finished with brick veneer cladding has been analysed regarding the airflow pattern inside the cavity and the cavity's hygrothermal conditions. In this way, the drying potential of cavity ventilation behind brick veneer cladding can be assessed. For the dataset considered in the present article, the study showed that buoyancy induced cavity ventilation leads to a higher effective air change rate compared to cavity ventilation due to wind pressure. Furthermore, it was found that cavity ventilation is not of great help to dry out the whole outer leaf. However, it proved to lower the moisture levels inside the cavity, which – if e.g. the brick veneer is combined with a wooden loadbearing wall – might be important to avoid mould growth problems. The study also showed that climatic conditions play an important role in the drying potential: sunny but windless days have larger drying potential than cloudy but windy days. © 2017 Elsevier Ltd</t>
  </si>
  <si>
    <t>Air change rate; Brick veneer cladding; Cavity ventilation; Drying potential; Hygrothermal conditions</t>
  </si>
  <si>
    <t>Belgium; Brick construction; Cladding (coating); Drying; Moisture; Moisture control; Veneers; Ventilation; Walls (structural partitions); Wind effects; Air change rates; Brick veneer; Building enclosure; Built environment; Climatic conditions; Environmental loads; Hygro-thermal conditions; Load bearing walls; airflow; cavity; construction material; construction method; fieldwork; indoor air; moisture transfer; temperature effect; ventilation; Brick</t>
  </si>
  <si>
    <t>Straube J.F., Burnett E.F.P., Vents, Ventilation and Masonry Veneer Wall Systems, Proc Eighth Can. Mason. Symp., pp. 194-207, (1998); Karagiozis A., Kunzel H., The effect of air cavity convection on the wetting and drying behavior of wood-frame walls using a multi-physics approach, J. ASTM Int., 6, pp. 1-15, (2009); Salonvarra M., Karagiozis A.N., Pazera M., Miller W., Air Cavities Behind Claddings — What Have We Learned ?, Therm. Perform. Exter. Envel. Whole Build. X Int. Conf., (2007); Kunzel H.M., Karagiozis A.N., Kehrer M., Assessing the benefits of cavity ventilation by hygrothermal simulation, Proc. Build. Phys. Symp. Honour Prof. Hugo Hens, pp. 17-20, (2008); Hens H., Janssens A., Depraetere W., Carmeliet J., Lecompte J., Brick cavity walls: a performance analysis based on measurements and simulations, J. Build. Phys., 31, pp. 95-124, (2007); Hens H., Mohamed A.F., Heat-Air-Moisture Design of Masonry Cavity Walls: Theoretical and Experimental Results and Practice, pp. 607-626, (1995); Straube J., van Straaten R., Burnett E., Field studies of ventilation drying, Therm. Perform. Exter. Envel. Whole Build., 9, (2004); Straube J., Finch G., Ventilated Wall Claddings: Review, Field Performance, and Hygrothermal Modeling, (2009); Langmans J., Desta T.Z., Alderweireldt L., Roels S., Field study on the air change rate behind residential rainscreen cladding systems: a parameter analysis, Build. Environ., 95, pp. 1-12, (2016); Gudum C., Moisture Transport and Convection in Building Envelopes, (2003); Labat M., Woloszyn M., Garnier G., Rusaouen G., Roux J.J., Impact of direct solar irradiance on heat transfer behind an open-jointed ventilated cladding: experimental and numerical investigations, Sol. Energy, 86, pp. 2549-2560, (2012); Falk J., Rendered Rainscreen Walls - Cavity Ventilation, Ventilation Drying and Moisture-induced Cladding Deformation, (2014); Sandin K., Skalmurskonstruktionens fuktoch temperaturbetingseler, (1991); Bassett M., McNeil S., Drained and Vented Cavity Walls - Measured Ventilation Rates, IRHACE Conf. Institution Refrig. Heat. Air Cond. Eng., Nelson, New Zealand, (2005); Bassett M., McNeil S., Ventilation Measured in the Wall Cavities of High Moisture Risk Buildings, J. Build. Phys., 32, pp. 291-303, (2009); Langmans J., Roels S., Experimental analysis of cavity ventilation behind rainscreen cladding systems: a comparison of four measuring techniques, Build. Environ., 87, pp. 177-192, (2015); Falk J., Sandin K., Ventilated rainscreen cladding: measurements of cavity air velocities, estimation of air change rates and evaluation of driving forces, Build. Environ., 59, pp. 164-176, (2013); Van Belleghem M., Steeman M., Janssens A., De Paepe M., Heat, air and moisture transport modelling in ventilated cavity walls, J. Build. Phys., 38, pp. 317-349, (2014); Sandin K., Temperature and moisture conditions in cavity walls, Proc. Int. CIB W67 Symp. Energy, Moisture Clim. Build., (1990); Jung E., Dauerstandverhalten von Verblendziegelmauerwerk unter Witterunsbeanspruchung und Auswirkungen von Kerndamm-Maznahmen, pp. 185-188, (1985); Desta T.Z., Langmans J., Roels S., Experimental data set for validation of heat, air and moisture transport models of building envelopes, Build. Environ., 46, pp. 1038-1046, (2011); Blocken B., Carmeliet J., High-resolution wind-driven rain measurements on a low-rise building - experimental data for model development and model validation, J. Wind Eng. Ind. Aerodyn., 93, pp. 905-928, (2005); Hens H.S.L.C., The vapor diffusion resistance and air permeance of masonry and roofing systems, Build. Environ., 41, pp. 745-755, (2006); Hens H., Bouwfysica warmte- en massatransport, (2010); Hens H., Toegepaste Bouwfysica randvoorwaarden, prestaties en materiaaleigenschappen, (2011)</t>
  </si>
  <si>
    <t>2-s2.0-85021838537</t>
  </si>
  <si>
    <t>Kölsch P.; Zegowitz A.; Nusser B.; Zirkelbach D.; Künzel H.; Wagner R.</t>
  </si>
  <si>
    <t>Airflow through lightweight wall assemblies—influence of size and location of leakages</t>
  </si>
  <si>
    <t>2016-December</t>
  </si>
  <si>
    <t>https://www.scopus.com/inward/record.uri?eid=2-s2.0-85053709274&amp;partnerID=40&amp;md5=cf2aa144902df1f641b598258c15f53f</t>
  </si>
  <si>
    <t>Compared to the overall building envelope airtightness concerning energetic aspects, the condensation caused by air exfiltration is still a challenge today. For a better understanding of the processes inside lightweight constructions, hot- and cold-box experiments and airflow measurements on 14 different full-scale wall assemblies under realistic climatic conditions were performed. The influences of different mineral wool airflow permeabilities and leak configurations, as well as different pressure differences were analyzed. Despite a certain level of uncertainty, the results show some interesting aspects about the influencing factors of the convective moisture entry. The distributions of the water content between sheathing and insulation samples show that more water remains inside the mineral wool with low air permeability, while in case of the more air permeable mineral wool, more water accumulates in the sheathing. Moreover, the findings indicate that the moisture distribution over the height of the sheathing is more influenced by the pressure difference level than by insulation air permeability or arrangements of the small openings. For the tested configurations, a lateral flow due to openings near the studs shows the highest total moisture contents inside the assemblies. In contrast, we could not observe significant differences concerning the moisture content for the different leak arrangements and diameters with the same total leakage area under humidification test conditions, although differences in the flow behavior are clearly detected. However, another important finding of these experiments is that, despite good workmanship, a small amount of air and moisture seams to penetrate the sealing tape joints. © 2016 U.S. Government.</t>
  </si>
  <si>
    <t>Air permeability; Mineral wool; Minerals; Moisture; Moisture determination; Wool; Yarn; Solar buildings; Air exfiltration; Airflow measurements; Building envelopes; Climatic conditions; Different pressures; Light-weight constructions; Moisture distribution; Pressure differences; Walls (structural partitions)</t>
  </si>
  <si>
    <t>Desmarais G., Impact of Added Insulation on The Hygrotherrnal Performance of Leaky Exterior Wall Assemblies, (2000); DIN EN 29053: 1993-05: Materialien Für Akus-Tische Anwendungen; Bestimmung Des Strömungswid-Erstandes, (1991); DIN EN 12667: 2001-05: Wärmetechnisches Verhalten Von Baustoffen und Bauprodukten - Bestimmung Des Wärmedurchlasswiderstandes Nach Dem Ver-Fahren mit Dem Plattengerät und Dem Wärmestrommessplatten-Gerät, (2001); DIN 4108-2: 2013-02: Wärmeschutz und Ener-Gie-Einsparung in Gebäuden - Teil 2: Mindestan-Forderungen An Den Wärmeschutz, (2013); Geissler A., Hauser G., Abschätzung Des Risiko-Potentials Infolge Konvektiven Feuchtetransports, (2002); Harreither C., Krainz L., Weissinger J., Bednar T., Experimental determination of the influence of installing fibrous insulation materials in timber frames on the air permeability and convective air transport, 6th International Building Physics Conference, IBPC 2015, (2015); 2012 International Energy Conservation Code, (2012); Nusser B., Flachgeneigte Hölzerne Dachkonstruk-Tionen; Systemanalyse und Neue Ansätze Zur Planung Hygrisch Robuster Flachgeneigter Hölzerner Dachkon-Struktionen Unter Betrachtung Konvektiver Feuchteein-Träge und Temporärer Beschattungssituationen, pp. 33-40, (2012); Riesner K., Vermeidungsstrategien Für Tauwasser- und Schimmelpilzrisiken in Außenwandgefachen, Verur-Sacht Durch Natürliche Konvektion in Der Dämmung, (2009); Schmidt J., Konvektiver Feuchtetransport Durch Leck-Agen in Holzleichtbaukonstruktionen mit Permeablen Dämmstoffen, (2014); Wagdy A.F., Airtight buildings: Past, present and future, ASHRAE Journal, 57, 11, pp. 40-50, (2015); Weissinger J., Dauerhaftigkeit Von Flachdächern Im Holzbau - Experimentelle Bestimmung Des Strömung-Swiderstands Im Randbereich Fasriger Dämmstoffe und Analyse Kritischer Zustände mit Hygrothermischer Bau-Teilsimulation, (2012); Zirkelbach D., Kunzel H.M., Schafaczek B., Borsch-Laaks R., Dampfkonvektion wird berechenbar; Insta-tionäres Modell zur berücksichtigung von konvektivem Feuchteeintrag bei der Simulation von Leichtbaukon-struktionen, 4th Intern. Symposium on Building and Ductwork Air Tightness – BUILDAIR 30th AIVC Conference, (2009)</t>
  </si>
  <si>
    <t>2-s2.0-85053709274</t>
  </si>
  <si>
    <t>Li Y.; Fazio P.; Rao J.</t>
  </si>
  <si>
    <t>Thermal Performance of the Exterior Envelopes of Whole Buildings - 11th International Conference</t>
  </si>
  <si>
    <t>Essah E.A.</t>
  </si>
  <si>
    <t>Domestic cold pitched roofs in the UK -Effect of using different roof insulation materials</t>
  </si>
  <si>
    <t>International Journal of Ventilation</t>
  </si>
  <si>
    <t>10.1080/14733315.2012.11683988</t>
  </si>
  <si>
    <t>https://www.scopus.com/inward/record.uri?eid=2-s2.0-84870774091&amp;doi=10.1080%2f14733315.2012.11683988&amp;partnerID=40&amp;md5=fcdc7c120e1aa6c339a615749d10e90f</t>
  </si>
  <si>
    <t>Cold pitched roofs; Insulation material and thickness; Moisture transfer</t>
  </si>
  <si>
    <t>Air; Buildings; Ceilings; Computer software; Energy conservation; Energy dissipation; Historic preservation; Insulating materials; Insulation; MATLAB; Moisture; Moisture control; Permafrost; Changing parameter; In-situ measurement; Insulation materials; Moisture transfer; Moisture transport; Pitched roofs; Roof insulations; Simulink simulations; Roofs</t>
  </si>
  <si>
    <t>Hygrothermal Performance of Building Components and Building Elements Assessment of Moisture Transfer by Numerical Simulation, (2007); Approved Document L1A: Conservation of Fuel and Power (New Dwellings, (2010); Essah E.A., Sanders C.H., Heat and moisture transport between houses and cold lofts -A combination of convection and diffusion, International Energy Agency Annex, 41, pp. 1-12, (2006); Essah E.A., Sanders C.H., Principles and calibration of solid phase microextraction fibre (passive sampler) for measurements of airflow and air infiltration in dwellings, International Journal of Ventilation, 9, 2, pp. 115-130, (2010); Essah E.A., Sanders C.H., Galbraith G.H., McLean R.C., Airflow between houses and their roofs, Proceedings of the 3rd International Building Physics Conference, pp. 737-744, (2006); Essah E.A., Sanders C.H., Baker P., Galbraith G.H., Sasic Kalagasidis A., Simulating the energy benefits and reduction in condensation formation that is obtained from houses with cold pitched roofs, Proceedings of the 8th Nordic Symposium on Building Physics, pp. 793-799, (2008); Essah E.A., Sanders C.H., Baker P., Sasic Kalagasidis A., Condensation and moisture transport in cold roofs: Effect of roof underlay, Journal of Building Research and Information, 37, 2, pp. 117-128, (2009); Essah E.A., Modelling and Measurements of Airflow and Ventilation Within Domestic Pitched Roofs, (2009); Hagentoft C.E., Introduction to Building Physics, pp. 1-5, (2001); Harvey L.D.D., Energy and the New Reality 2 -Carbon-Free Energy Supply, pp. 127-129, (2010); Hokoi S., Kumaran M.K., Experimental and analytical investigations of simultaneous heat and moisture transport through glass fiber insulation, Journal of Building Physics, (1993); Holm A., Lengsfeld K., Hygrothermal performance of ventilated cold roofs an experimental study, Proceedings in the 11th Canadian Conference on Building Science and Technology, (2007); Kaufmann A., Kunzel H.M., Radon J., Preventing moisture problems in retrofitted pitched roofs, ACTA Scientiarum Polonorum, 5, 1, pp. 69-79, (2006); Kumaran K., Heat, air, and moisture transfer in insulated envelope parts: Task 3-material properties, International Energy Agency (IEA), Annex, 24, (1996); Liddament M.W., Air infiltration calculation techniques-An application guide, Annex V, (1986); Mglc L., The Measurement and Simulation of Indoor Airflow, 29, pp. 1-6, (1998); McMullan R., Environmental Science in Buildings, pp. 14-15, (2007); Petherick D., Ventilated and Unventilated Cold Pitched Roofs: Draft Good Building Guide, pp. 1-15, (2001); Sanders C.H., Air movement in houses: A new approach, Journal of Building Research and practice, CI/SFB, 81, 57, pp. 160-175, (1982); Sanders C.H., Heat, air and moisture transfer through new and retrofitted insulated envelope parts (hamite), IAE Annex 24: Final Report, Task 2: Environmental Conditions, 2, pp. 77-89, (1996); Sanders C.H., Modelling Condensation and Airflow in Pitched Roofs, pp. 1-7, (2006); Santamouris M., Et al., Natural Ventilation in Buildings: A Design Handbook, pp. 1-4, (1998); Stirling C., Thermal insulation: Avoiding risk -A good practice guide supporting building regulation requirements, Building Research Establishment (BRE, 262, (2002); Walker S., Forest T.W., Wilson D.J., An attic-interior infiltration and inter-zone transport model of a house, Building and Environment, 40, 5, pp. 701-718, (2005)</t>
  </si>
  <si>
    <t>2-s2.0-84870774091</t>
  </si>
  <si>
    <t>Schumacher C.J.; Ober D.G.; Straube J.F.; Grin A.P.</t>
  </si>
  <si>
    <t>Development of a new hot box apparatus to measure building enclosure thermal performance</t>
  </si>
  <si>
    <t>Thermal Performance of the Exterior Envelopes of Whole Buildings - 12th International Conference</t>
  </si>
  <si>
    <t>https://www.scopus.com/inward/record.uri?eid=2-s2.0-84966457744&amp;partnerID=40&amp;md5=b926e7e7056b8b93bdc4f00f13bc2bca</t>
  </si>
  <si>
    <t>R-value is an effective, well established, and widely accepted metric for describing the thermal performance of building insulation materials but it is an incomplete metric for describing the thermal performance of building enclosure assemblies. In practice, many building designers have directly applied insulation R-value to the thermal performance of building enclosure assemblies; however, with the proliferation of newmaterials and enclosure systems, this simplification increasingly results in poor predictions of performance. More accurate predictions have become increasingly important as stricter energy codes and the use of compliance computer modeling have proliferated. The thermal performance of any building enclosure assembly is highly dependent on the amount of insulation installed; however it can also be heavily influenced by a number of other factors such as air leakage, thermal bridging, operating conditions, moisture content, and installation defects. These factors are not properly or completely captured when insulation R-value is used as the sole metric for assembly thermal performance. A consortium of insulation manufacturers, representing all types of insulating materials and all regions of North America, undertook a series of research projects to examine these issues and their impact on the prediction of the thermal performance of building enclosures. This paper documents the development of the primary apparatus used in the research: a new hot box designed to accurately measure the true thermal performance of modern wall assemblies. The approach is based on ASTM C1363. However, a number of improvements and performance extensions have been made to facilitate the research: a large, double-guarded meter box; systems to simulate heating and cooling climates without removing the test specimen; a closed-loop air transfer system that induces and measures air pressure differences across and movement through the assembly; a tracer gas system to measure unintentional and intentionally induced airflows; and the ability to measure with greater precision. All of these features allow quantification of wall assembly performance that is more representative of actual in-service conditions. The apparatus components, capacity, accuracy, calibration and validation are presented. © 2013 ASHRAE.</t>
  </si>
  <si>
    <t>Atmospheric pressure; Buildings; Calibration; Cooling systems; Enclosures; Forecasting; Insulating materials; Insulation; Leakage (fluid); Thermal insulating materials; Walls (structural partitions); Accurate prediction; Building designers; Calibration and validations; Heating and cooling; Insulation manufacturers; Operating condition; Thermal Performance; Thermal performance of buildings; Thermal insulation</t>
  </si>
  <si>
    <t>ASHRAE Handbook-Fundamentals, (2009); Standard Test Method for Steady-State Thermal Transmission Properties by Means of the Heat Flow Meter Apparatus, (2004); Standard Practice for Selecting Temperatures for Evaluating and Reporting Thermal Properties of Thermal Insulation, (2003); ASTM C1303-07 Standard Test Method for Predicting Long-Term Thermal Resistance of Closed-Cell Foam Insulation, (2007); Standard Test Method for Thermal Performance of Building Materials and Envelope Assemblies by Means of A Hot Box Apparatus, (2005); Bombino R., Burnett E.F.P., Design Issues with Steel-stud-framed Wall Systems, PHRC Research Series: Report No. 58: 44, (1999); Brown W.C., Bomberg M.T., Ullet J.M., Rasmussen J., Measured Thermal Resistance of Frame Walls with Defects in the Installation of Mineral Fibre Insulation, J. of Thermal Insulation and Building Envelopes, 16, pp. 318-339, (1993); Chebil S., Galanis N., Zmeureanu R., Computer Simulation of Thermal Impact of Air Infiltration Through Multi-layered Exterior Walls, Proc. of Eight International IBPSa Conference, pp. 155-162, (2003); Christian J.E., Kosny J., Toward A National Opaque Wall Rating Label. Thermal Performance of the Exterior Envelopes of Buildings VI, (1995); Home Insulation Rule, 16 CFR Part 460, (1979); Garden G.K., Control of Air Leakage Is Important, (1965); Graham M.S., R-value Concerns. Professional Roofing, 2010, (2010); Jones D.C., Ober D.G., Goodrow J.T., Thermal Performance Characterization of Residential Wall Systems Using a Calibrated Hot Box with Airflow Induced by Differential Pressures, Airflow Performance of Building Envelopes, Components and Systems, ASTM STP, 1255, pp. 197-228, (1995); Lecompte J., Influence of Natural Convection in an Insulated Cavity on the Thermal Performance of aWall, Insulation Materials, Testing and Applications, ASTM STP1030, pp. 397-420, (1990); Schumacher C.J., Temperature Dependence of R-values in Polyisocyanurate Roof Insulation, (2013); Trethowen H.A., Sensitivity of Insulated Wall and Ceiling Cavities to Workmanship, J. of Thermal Insul, 15, (1991); Uvslokk S., The Importance of Wind Barriers for Insulated Timber Frame Constructions, J. Thermal Insul. &amp; Building Envelopes, 20, (1996); Wilson A.G., Air Leakage in Buildings, Canadian Building Digest 23, National Research Council of Canada, (1963); Yarbrough D.W., Graves R.S., The Effect of Airflow on Measured Heat Transport Through Wall Cavity Insulation, Proceedings at 2006 ASTM Symposium on Heat, Air, and Moisture Transport in Buildings, (2006)</t>
  </si>
  <si>
    <t>2-s2.0-84966457744</t>
  </si>
  <si>
    <t>Paepcke A.; Nicolai A.</t>
  </si>
  <si>
    <t>Performance analysis of coupled quasi-steady state air flow calculation and dynamic simulation of hygrothermal transport inside porous materials</t>
  </si>
  <si>
    <t>10.1016/j.egypro.2017.10.024</t>
  </si>
  <si>
    <t>https://www.scopus.com/inward/record.uri?eid=2-s2.0-85033398661&amp;doi=10.1016%2fj.egypro.2017.10.024&amp;partnerID=40&amp;md5=f4edbdd1332926ba1f34e05ccaf19d8e</t>
  </si>
  <si>
    <t>The hygrothermal simulation model DELPHIN performs a transient simulation of energy and moisture transport in porous building materials and air gaps. The governing partial differential equations are solved with an advanced error control time integration algorithm. In comparison to the time scales of heat and moisture transport, air flow can be treated sufficiently well as steady-state process. The pressure and flow field needs to be updated whenever ambient air pressures change significantly or free convection is induced due to temperature or humidity variations. Within DELPHIN the air flow pattern is computed with a Darcy-type steady-state flow calculation. The calculation of the flow field is a time-consuming task and should only be done when necessary. A central question that impacts both physical results and performance is the update criteria for the quasi-steady flow field. Indeed, if the flow field is updated in with every change of temperature or moisture, we observe in some cases significant performance losses. For all simulation cases we use an error controlled time integration method. In the article we identify free convection inside an air gap as a performance critical simulation scenario. Dominating convective transport is responsible for divergence of the fully coupled simulation. Reduction of update frequency stabilizes simulation run without loss of calculation efficiency. These results may be generalized for less critical simulation cases. © 2017 The Authors. Published by Elsevier Ltd.</t>
  </si>
  <si>
    <t>Air convection; Building envelope; DAE; HAM simulation; Porous media</t>
  </si>
  <si>
    <t>Air; Differential equations; Flow fields; Flow patterns; Moisture; Natural convection; Porous materials; Steady flow; Air convection; Building envelopes; Change of temperatures; HAM simulation; Heat and moisture transports; Hygrothermal simulation; Porous building material; Time integration methods; Flow of fluids</t>
  </si>
  <si>
    <t>Grunewald J., Diffusiver und Konvektiver Stoff- Und Energietransport, (1997); Hindmarsh A.C., Et al., SUNDIALS: Suite of Nonlinear and Differential/Algebraic Equation Solvers, ACM Transactions on Mathematical Software, 31, 3, pp. 363-396, (2005); Langmans J., Feasibility of Exterior Air Barriers in Timber Frame Construction, (2013); Langmans J., Et al., Highly insulated pitched roofs resilient to air flow patterns: Guidelines based on a literature review, Energy and Buildings, 120, pp. 10-18, (2016); Nicolai A., Modeling and Numerical Simulation of Salt Transport and Phase Transitions in Unsaturated Porous Building Materials, (2008); Nicolai A., Al, Towards a semi- generic simulation framework for mass and energy transport in porous materials, Proc. of the 9th Nordic Symposium on Building Physics, (2011); Paepcke A., Al, Comparison of Direct and Iterative Linear Equation System Solvers for Building Component Simulation, Proc. of the 10th Nordic Symposium on Building Physics, (2014); Press W.H., Et al., Numerical Recipes, (2007); Saad Y., Iterative methods for sparse linear systems, SIAM Society for Industrial and Applied Mathematics, (2003)</t>
  </si>
  <si>
    <t>2-s2.0-85033398661</t>
  </si>
  <si>
    <t>Møller E.B.; Rasmussen T.V.; Nicolajsen A.</t>
  </si>
  <si>
    <t>A simplified method using compressed air to determine air leakage</t>
  </si>
  <si>
    <t>https://www.scopus.com/inward/record.uri?eid=2-s2.0-84926516591&amp;partnerID=40&amp;md5=52486c235072647c8be21eb85e9db440</t>
  </si>
  <si>
    <t>Airtightness of buildings is important for the control of energy loss and moisture transport through the building envelope. Different methods for testing the airtightness of the building envelope have been developed. Sometimes these methods are too elaborate. Therefore, simplified methods that are easy to use can be most useful for rough estimates of airtightness. An alternative simplified method using compressed air from a cylinder was suggested, developed, and tested in this research. Compressed air was released inside a house and the pressure rose. After the air supply was turned off, the pressure normalized; the rate of pressure decrease induced by this process was used to describe the air leakage. A building envelope with high air leakage quickly returned to normal pressure. A theoretical model for the relation between pressure change and air leakage was established. Then test results from the experiments in two detached houses were compared with measurements using the blower door test method. The pressure decreased systematically and with good reproducibility, but the calculated airflows in the two test houses were underestimated by 50% and 7% compared with the airflow measured by means of the blower door test method. Changes in volume and temperature due to pressurization could not explain the differences in the two test houses. Therefore, the method was stated to be usable only for a rough estimate of the airflow with a big error margin. However, better instruments and higher pressures might improve the results and make the method more useful. © 2010 ASHRAE.</t>
  </si>
  <si>
    <t>Blowers; Compressed air; Doors; Energy dissipation; Houses; Pressure vessels; Solar buildings; Building envelopes; Changes in volume; Control of energies; Moisture transport; Rate of pressure; Reproducibilities; Simplified method; Theoretical modeling; Testing</t>
  </si>
  <si>
    <t>ASTM, ASTM Standard E779-03, Standard Test Method for Determining Air Leakage Rate by Fan Pressurization, (2003); CEN, EN 13829, Thermal Performance of Buildings-Determination of Air Permeability of Buildings-Fan Pressurization Method (ISO 9972:1996 Modified), (2000); Dewsbury J., AC pressurisation: Analysis by non-linear optimisation, Building Services Engineering Research and Technology, 17, 65, (1996); DECA, Bygningsreglement 2008 (Building Regulations 2008), (2008); Mattsson B., Studies on Building Air Leakage-A Transient Pressurization Method, Measurements and Modelling, (2007); Sherman M., Chan R., Building Airtightness: Research and Practice, (2004); Sherman M., Modera M., Signal attenuation due to cavity leakage, Journal of Acoustical Society in America, 84, 6, (1988); Walker I.S., Wilson D.J., Sherman M.H., A comparison of the power law to quadratic formulations for air infiltration calculations, Energy and Buildings, 27, pp. 293-299, (1998)</t>
  </si>
  <si>
    <t>2-s2.0-84926516591</t>
  </si>
  <si>
    <t>Karagiozis A.N.; Kuenzel H.M.</t>
  </si>
  <si>
    <t>The effect of air cavity convection on the wetting and drying behavior of wood-frame walls using a multi-physics approach</t>
  </si>
  <si>
    <t>The moisture performance of building envelope systems are strongly dependent on the materials used, the workmanship, and the exposure loads from the interior and exterior environments. The authors have long recognized the need to include the effects of exterior cladding ventilation in the predictive capability of software tools used for hygrothermal analysis. Exterior cladding ventilation has been studied, but no conclusive recommendations have been generated until recently (Burnett, E., Straube, J., and Karagiozis, A., "Synthesis Report and Guidelines," ASHRAE TRP-1091 Report No. 12, Nov. 2004). While the physics describing the thermal and moisture transport in the presence of air convection is understood, the pressure dynamics is still somewhat qualitatively known. With the addition of new literature data and available field generated monitored data, a simplified model for the wall air cavity ventilation was developed. The scientific approach followed initially included the benchmarking of multi-dimensional advanced hygrothermal model with laboratory and field data. The flow was understood for a wide range of exterior loadings, and once this was completed, an attempt to reduce the complex three-dimensional air flow characteristics into a simple one-dimensional analogue was made. The paper describes how this important feature was included into the WUFI-4.1 software. The paper also describes how users may employ this feature in hygrothermal designs to investigate the advantages and disadvantages of cavity ventilation. Results are also presented on the hygrothermal performance of two walls, one ventilated and the other is unvented. Results show that major differences were predicted and the wall with the ventilation cavity dried out nearly five times faster than the wall without the ventilation. Field monitored stucco wall systems with and without cavity ventilation are also included compared to the prediction provided by the hygrothermal model. Good agreement is shown between the field and WUFI 4.1 model. Copyright © 2009 by ASTM International.</t>
  </si>
  <si>
    <t>Air convection; Hygrothermal performance; Moisture performance; Simulations; Ventilation</t>
  </si>
  <si>
    <t>Saber H.H.; Lacasse M.A.; Ganapathy G.; Plescia S.; Parekh A.</t>
  </si>
  <si>
    <t>Risk of condensation and mold growth in highly insulated wood frame walls</t>
  </si>
  <si>
    <t>https://www.scopus.com/inward/record.uri?eid=2-s2.0-85053666225&amp;partnerID=40&amp;md5=ae13521e4c27adb165bee82c3bfb1bae</t>
  </si>
  <si>
    <t>A research study was conducted to investigate the risk of condensation and mold growth in 2× 6 wood framing wall assemblies associated with increasing the thermal resistance (R-value) of cavity insulation for various scenarios of exterior insulation products. Based on the current construction practices, a set of three wall assemblies with different types of exterior insulation systems were chosen for field study with different R-values. In the first phase of this study, the hygrothermal model was benchmarked against the test data of full-scale wood framing wall systems. The predications of the model were in good agreement with the test data. Thereafter, the model was used to conduct parametric study to assess the risk of condensation of these wall assemblies when they were subjected to different air leakage rates for various climate zones. Both the numerical results and the field monitoring data showed different behaviors of exterior insulation strategies. The results of the hygrothermal performance were expressed using the mold index criteria, which allowed sufficient resolution to assess the risk of moisture condensation and related risk of mold growth in the wall assemblies. The results showed, as well, that adding exterior insulation of different water vapor permeance has resulted in lower risk of condensation and mold growth than the reference wall system (i.e., without exterior insulation). © 2016 U.S. Government.</t>
  </si>
  <si>
    <t>Assembly; Climate models; Condensation; Molds; Prestressed materials; Risk assessment; Risk perception; Thermal insulation; Air-leakage rates; Current construction; Field monitoring data; Hygrothermal performance; Insulation products; Moisture condensation; Numerical results; Risk of condensation; Walls (structural partitions)</t>
  </si>
  <si>
    <t>ANSI/ASHRAE Standard 160-2009, Criteria for Moisture-Control Design Analysis in Buildings; ASHRAE Handbook—Fundamentals (SI), (2009); ASTM Designation C-1130-07, Standard practice for calibrating thin heat flux transducers, Annual Book of ASTM Standards, Sec 4, Construction, pp. 577-584, (2009); Elmahdy A.H., Maref W., Swinton M.C., Saber H.H., Glazer R., Development of energy ratings for insulated wall assemblies, Building Envelope Symposium, pp. 21-30, (2009); Elmahdy A.H., Maref W., Saber H.H., Swinton M.C., Glazer R., Assessment of the energy rating of insulated wall assemblies a step towards building energy labeling, 10th Int. Conference for Enhanced Building Operations (ICEBO2010), (2010); Glass S.V., Hygrothermal Analysis of Wood-Frame Wall Assemblies in A Mixed-Humid Climate, pp. 1-25, (2013); Hukka A., Viitanen H.A., A mathematical model of mold growth on wooden material, Wood Science and Technology, 33, 6, pp. 475-485, (1999); Lacasse M.A., Saber H.H., Ganapathy G., Nicholls M., Evaluation of thermal and moisture response of highly insulated wood-frame wall assemblies?, Phase 1; Part I: Experimental Trials in Field Exposure of Walls Test Facility, (2016); Mukhopadhyaya P., Kumaran M.K., Lackey J., Norman-Din N., Van Reenen D., Tariku F., Hygrothermal properties of exterior claddings, sheathing boards, membranes and insulation materials for building envelope, Proceedings of Thermal Performance of The Exterior Envelopes of Whole Buildings X, pp. 1-16, (2007); National Building Code of Canada, Canadian Commission on Building and Fire Codes, (1995); National Building Code of Canada, (2010); Ojanen T., Kumaran M.K., Effect of exfiltration on the hygrothermal behaviour of a residential wall assembly: Results from calculations and computer simulations, International Symposium on Moisture Problems in Building Walls, (1995); Ojanen T., Viitanen H.A., Peuhkuri R., Lahdesmaki K., Vinha J., Salminen K., Mold growth modeling of building structures using sensitivity classes of materials, 11th International Conference on Thermal Performance of The Exterior Envelopes of Whole Buildings XI, 10, (2010); Saber H.H., Ganapathy G., Evaluation of thermal and moisture response of highly insulated wood-frame wall assemblies?, Phase 1; Part II: Numerical Modeling, (2016); Saber H.H., Maref W., Abdulghani K., Properties and Position of Materials in The Building Envelope for Housing and Small Buildings, (2014); Saber H.H., Maref W., Risk of condensation and mold growth in wood-frame wall systems with different exterior insulations, BEST Building Enclosure Science &amp; Technology Conference (BEST4), (2015); Saber H.H., Maref W., Elmahdy A.H., Swinton M.C., Glazer R., 3D Thermal model for predicting the thermal resistances of spray polyurethane foam wall assemblies, Building XI Conference, (2010); Saber H.H., Maref W., Elmahdy A.H., Swinton M.C., Glazer R., 3D Heat and air transport model for predicting the thermal resistances of insulated wall assemblies, International Journal of Building Performance Simulation, 5, 2, pp. 75-91, (2012); Viitanen H.A., Ojanen T., Improved model to predict mold growth in building materials, Proceedings of Thermal Performance of The Exterior Envelopes of Whole Buildings X, (2007)</t>
  </si>
  <si>
    <t>2-s2.0-85053666225</t>
  </si>
  <si>
    <t>Watt D.; Sjöberg S.; Wahlgren P.</t>
  </si>
  <si>
    <t>Hygrothermal performance of a light weight timber wall assembly with an exterior air barrier</t>
  </si>
  <si>
    <t>78</t>
  </si>
  <si>
    <t>10.1016/j.egypro.2015.11.164</t>
  </si>
  <si>
    <t>https://www.scopus.com/inward/record.uri?eid=2-s2.0-84962480713&amp;doi=10.1016%2fj.egypro.2015.11.164&amp;partnerID=40&amp;md5=d31e1782d577393141f2f791742f0764</t>
  </si>
  <si>
    <t>This paper investigates the effect of convection on moisture accumulation, and mould growth potential, in a lightweight timber frame wall system where the air barrier is situated at the exterior and the damaged or unsealed vapour retarder is situated at the interior. A two dimensional numerical HAM (Heat, Air and Moisture) model is constructed and verified to evaluate the hygrothermal behaviour of a light-weight timber frame wall system with varying airtightness attributes. The mould growth potential of the wall system in a Swedish climate is assessed and compared utilizing the data output from the numerical model simulations and a material specific mould growth index. The results suggest that the joints of the interior vapour retarder need not be sealed in the studied case. While the degree of moisture accumulation is larger behind the exterior air-tight layer of the simulated wall assembly possessing an unsealed interior OSB layer (compared to sealed interior), the influence on mould growth potential is limited. © 2015 The Authors.</t>
  </si>
  <si>
    <t>Air movements; Convection; Exterior air barrier; Hygrothermal performance</t>
  </si>
  <si>
    <t>Climate models; Diffusion barriers; Heat convection; Moisture; Moisture determination; Molds; Timber; Air movement; Airtightness; Exterior air barriers; Hygrothermal performance; Moisture accumulation; Numerical model simulations; Timber frames; Wall assembly; Walls (structural partitions)</t>
  </si>
  <si>
    <t>Wahlgren P., Sikander E., Methods and Materials for an Airtight Building, (2010); Hansen E.J., Timber-Frame Walls: Feasible with a Damaged Vapour Barrier, (2010); Relander T.-O., Airtigtness Estimation - A State of the Art Review and an en Route Upper Limit Evaluation Principle to Increase the Chances that Wood-frame Houses with a Vapour and Wind Barrier Comply with the Airtightness Requirements, (2011); Relander T.-O., Airtightness of Wood-frame Houses, (2011); Langmans J., A quasi-steady state implementation of air convection in a transient heat and moisture building componentn model, Building and Environment, 58, pp. 201-218, (2012); Tariku F., Whole Building Heat and Moisture Analysis, (2008); Van Schijndel J., Integrated Heat Air and Moisture Modeling and Simulation, (2007); Johansson P., Ekstrand-Tobin A., Svensson T., Mould Growth on Building Materials Under Different Climatic Conditions: Determining the Critical Moisture Level, (2012); Korsnes S., Moisture Risk in Prefabricated Wooden Wall Elements (TES-elements) with a Vapour Retarder of OSB/3, (2013); Langmans J., Experimental data set for validation of heat, air and moisture transport models of building envelopes, Building and Environment, 46, pp. 1038-1046, (2011); Langmans J., Hygrothermal risks of using exterior air barrier systems for highly insulated light weight walls: A laboratory investigation, Building and Environment, pp. 192-202, (2012); Tariku F., Kumaran K., Fazio P., Transient model for coupled het, air and moisture transfer throgh mulitilayered porous media, International Journal of Heat and Mass Transfer, (2009); Nield D., Bejan A., Convection in Porous Media (Third Ed.), (2006); Sasic Kalagasidis A., HAM-Tools, an Integrated Simulation Tool for Heat, Air an Moisture Transfer Analyses in Building Physics, (2004); Hagentoft C.-E., Introduction to Building Physics, (2001); Sjoberg S., Watt D., Hygrothermal Performance of a Light Weight Timber Wall Assembly with an Exterior Air Barrier, (2014); Maier T., ISO 13788: Hygrothermal Calculation Procedure of Building Components (internal Surface Temperature to Avoid Critical Surface Humidity and Interstitial Condensation), (2012)</t>
  </si>
  <si>
    <t>2-s2.0-84962480713</t>
  </si>
  <si>
    <t>Matsuoka D.; Hokoi S.</t>
  </si>
  <si>
    <t>Dehumidification effect by ventilation opening and vented wall cavity of attic space with eaves ventilation during winter season: Hygrothermal conditions in attic space of wooden houses in mild climate region part 2</t>
  </si>
  <si>
    <t>80</t>
  </si>
  <si>
    <t>717</t>
  </si>
  <si>
    <t>10.3130/aije.80.1053</t>
  </si>
  <si>
    <t>https://www.scopus.com/inward/record.uri?eid=2-s2.0-84948664919&amp;doi=10.3130%2faije.80.1053&amp;partnerID=40&amp;md5=56cb8ccd779a595d3807bd88aa2ba2be</t>
  </si>
  <si>
    <t>A mock-up, one-story test house with eaves ventilation was built in a suburb of Tokyo to examine the hygrothermal conditions in its attic space. A series of measurements were conducted to clarify the effects that the vent opening area and vented wall cavity had on the hygrothermal conditions. In addition, to estimate the airflow rate through the vented wall cavity and eaves vent using the air velocity measured by an anemometer placed therein, the relationship between them was measured by changing the fan flow rate in an experimental setup. The dehumidification of the attic space by the eaves vents, vented wall cavities and room was calculated during the experimental period. The main findings are as follows: 1) Of the total flow rate through the vented wall cavity on the southern side, the proportions among upward flow into the attic space, upward flow into the ventilation opening, and downward flow were approximately 5:1:4. 2) Considering that 20% of the upward airflow through the vented wall cavity did not contribute to the ventilation of the attic space, the eave space should be added as a calculation node for hygrothermal models to predict the proper size of the attic ventilation opening. 3) Glass fiber insulation wrapped a vapor tight film (bagged insulation) is generally employed as a insulation layer of ceiling in mild climate regions of Japan. The air gap between the insulation materials has an impact on moisture flow passing through the ceiling gypsum board to the attic space.</t>
  </si>
  <si>
    <t>Attic space; Hygrothermal conditions; Ventilation; Wooden houses</t>
  </si>
  <si>
    <t>Air; Houses; Humidity control; Insulation; Vents; Walls (structural partitions); Attic spaces; Attic ventilation; Climate regions; Hygro-thermal conditions; Insulation layers; Insulation materials; Ventilation openings; Wooden house; Ventilation</t>
  </si>
  <si>
    <t>Forsen H., Veikko Tarvainen, Accuracy and Functionality of Hand Held Wood Moisture Content Meters, (2000)</t>
  </si>
  <si>
    <t>2-s2.0-84948664919</t>
  </si>
  <si>
    <t>Essah E.A.; Sanders C.H.; Baker P.; Kalagasidis A.S.</t>
  </si>
  <si>
    <t>Condensation and moisture transport in cold roofs: Effects of roof underlay</t>
  </si>
  <si>
    <t>Building Research and Information</t>
  </si>
  <si>
    <t>10.1080/09613210802645973</t>
  </si>
  <si>
    <t>https://www.scopus.com/inward/record.uri?eid=2-s2.0-61449237436&amp;doi=10.1080%2f09613210802645973&amp;partnerID=40&amp;md5=db7f8a62171e0ca4a53a8d67a2e9c141</t>
  </si>
  <si>
    <t>Cold pitched roofs, with their form of construction situating insulation on a horizontal ceiling, are intrinsically vulnerable to condensation. This study reports the results derived from using a simulation package (Heat, Air and Moisture modelling tool, or HAM-Tools) to investigate the risk of condensation in cold pitched roofs in housing fitted with a vapour-permeable underlay (VPU) of known characteristics. In order to visualize the effect of the VPUs on moisture transfer, several scenarios were modelled, and compared with the results from a conventional bituminous felt with high resistance (200MNs/g, Sd = 40m). The results indicate that ventilation is essential in the roof to reduce condensation. However, a sensitivity analysis proved that reducing the overall tightness of the ceiling and using lower-resistance VPUs would help in controlling condensation formation in the roof. To a large extent, the proposed characteristic performance of the VPU as predicted by manufacturers and some researchers may only be realistic if gaps in the ceiling are sealed completely during construction, which may be practically difficult given current construction practice.</t>
  </si>
  <si>
    <t>Air leakage; Air tightness; Cold pitched roofs; Condensation; HAM-Tools; Permeability; Roof design; Vapour-permeable underlay</t>
  </si>
  <si>
    <t>Capillarity; Ceilings; Condensation; Leakage (fluid); Meats; Moisture control; Risk perception; Sensitivity analysis; Air leakage; Air tightness; Cold pitched roofs; HAM-Tools; Permeability; Vapour-permeable underlay; Roofs</t>
  </si>
  <si>
    <t>Air Information Review, 27, 4, pp. 3-4, (2006); Arfvidsson J., Harderup L.E., Moisture safety in attics ventilated by outdoor air, 9th Symposium in Building Physics, (2005); Blocken B., Roels S., Carmeliet J., A combined CFDHAM approach for wind-driven rain on building facades, Journal of Wind Engineering and Industrial Aerodynamics, 95, 7, pp. 1-23, (2005); BSim, Danish; Charlesworth P.S., Air Exchange Rate and Air Tightness Measurement Techniques - An Application Guide, (1988); Chen Q., Van der Kooi J., Accuracy - a program for combined problems of energy analysis, indoor air flow and air quality, ASHRAE Transactions, 3158, pp. 196-214, (1988); Delphin 4, Technical University of Dresden; Essah E.A., Sanders C.H., Baker P., Galbraith G.H., McLean R.C., Comparing experimental measurements and modelling of airflow patterns in a house and its loft space, Proceedings of the Healthy Buildings (HB 2006} Conference, 4, pp. 415-420, (2006); Essah E.A., Sanders C.H., Baker P., Galbraith G.H., McLean R.C., Airflow between houses and their roofs, Research in Building Physics and Building Engineering, Proceedings of the Third International Building Physics Conference, 1, pp. 737-744, (2006); Essah E.A., Sanders C.H., Baker P., Galbraith G.H., Sasic Kalagasidis A., Simulating the energy benefits and reduction in condensation formation that is obtained from houses with cold pitched roofs, Proceedings of the 8th Symposium of Building Physics in the Nordic Countries, 2, pp. 793-799, (2008); Matlab; Hagentoft C.E., Introduction to Building Physics, pp. 1-5, (2001); International Building Physics Toolbox in Simulink; Roof Ventilation - VPU (Vapour Permeable Roofing Underlay), (2007); Hens H., Heat, Air, and Moisture Transfer in Insulated Envelope Parts: Task 1 - Modelling, (1996); Isover A.B., pp. 2-3, (2006); Jena A., Gupta K., Characteristics of water vapour permeable membranes, Journal of Desalination, 149, pp. 471-476, (2002); Johnston D., Wingfield J., Miles-Shenton D., Bell M., Airtightness of UK dwellings: Some recent measurements, Proceedings of the Construction and Building Research Conference, (2004); Pitched Roofs - New Build and Upgrade, (2007); Kumaran K., Heat, Air, and Moisture Transfer in Insulated Envelope Parts: Task 3 - Material Properties, (1996); Lu X., Modelling of heat and moisture transfer in buildings I. Model program, Energy and Buildings, 34, pp. 1033-1043, (2002); Mattsson B., A sensitivity analysis of assumptions regarding the position of leakages when modelling air infiltration through an attic floor, 7th Symposium on Building Physics in the Nordic Countries, (2005); Mattsson B., Studies on building air leakage - a transient pressurisation method, measurements and modelling, (2007); Samuelson I., Moisture Balance in the Cold Attics. The Importance of Ventilation and Choice of Insulation Materials, SP Report 1995, 68, (1995); Sanders C.H., Air movement in houses: A new approach, Building Research and Practice, CI/SFB, 81, 57, pp. 160-175, (1982); Sanders C.H., Heat, Air and Moisture Transfer Through New and Retrofitted Insulated Envelope Parts (Hamite), IAE Annex 24 - Final Report, (1996); Sanders C.H., Modelling condensation and airflow in pitched roofs, Building Research Establishment (BRE) information paper, IP 05/06, BRE Press, Garston, pp. 1-5, (2006); Sanders C.H., Haig J., Heat, air and moisture transport through cold pitched roofs, International Council for Research and Innovation in Buildings and Construction (CIB) W40, pp. 1-13, (2004); Sasic Kalagasidis A., HAM-Tools: An integrated simulation tool for heat, air and moisture transfer analyses in building physics, (2004); Sasic Kalagasidis A., The whole model validation of HAM-Tools. Case study: Hygrothermal conditions in the cold attic under different ventilation regimes, Proceedings of the 9th International Conference on Performance of the Exterior Envelopes of Whole Buildings, (2004); Sasic Kalagasidis A., Simulations as the way of bridging the gaps between desired and actual hygrothermal performance of buildings, Building Simulation Conference, (2007); Sasic Kalagasidis A., Mattsson B., Modelling of moisture conditions in a cold attic space, 26th AIVC Conference, (2005); Woloszyn M., Rode C., Annex 41: Whole building heat, air, and moisture response, Modelling Principles and Common Exercises, pp. 74-106, (2008); Wufi-Plus N.D., Fraunhofer Institute of Building Physics</t>
  </si>
  <si>
    <t>2-s2.0-61449237436</t>
  </si>
  <si>
    <t>Johansson P.; Hagentoft C.-E.; Sasic Kalagasidis A.</t>
  </si>
  <si>
    <t>Retrofitting of a listed brick and wood building using vacuum insulation panels on the exterior of the facade: Measurements and simulations</t>
  </si>
  <si>
    <t>73</t>
  </si>
  <si>
    <t>10.1016/j.enbuild.2014.01.019</t>
  </si>
  <si>
    <t>https://www.scopus.com/inward/record.uri?eid=2-s2.0-84893823171&amp;doi=10.1016%2fj.enbuild.2014.01.019&amp;partnerID=40&amp;md5=b5043d5e9bf56142dea81471b6db4b9e</t>
  </si>
  <si>
    <t>Many old listed buildings have an unsatisfactory thermal performance compared to the standards of today. The listing often limits the position and necessary thickness of an added insulation layer in the building envelope. Vacuum insulation panels (VIP) present unprecedented possibilities to reduce the required thickness of the insulation layer. The aim of this study is to explore the performance of VIP in the retrofitting of listed buildings. The goal is to improve the thermal transmittance and moisture performance of the wall and the thermal comfort for the occupants. Hygrothermal sensors were installed in the wall of a listed building insulated with VIP on the exterior. Sensors were also installed in a neighboring (non-retrofitted) wall as reference. Through a comparative analysis of the measured data it was concluded that the hygrothermal performance of the retrofitted wall was substantially better than of the reference wall. The measurement results were also compared to hygrothermal simulations to quantify the improvements in the thermal transmittance and moisture performance. A deviation was found between the measured and simulated relative humidity in the wall which was explained by vertical air leakage paths in the wall. © 2014 Elsevier B.V.</t>
  </si>
  <si>
    <t>Brick; Hygrothermal performance; Listed building; Measurement; Retrofit; Simulation; Thermal comfort; Thermal transmittance; Vacuum insulation panel; Wood</t>
  </si>
  <si>
    <t>Naturvårdsverket, Miljömål, God Bebyggd Miljö, Q-märkt; Boverket, Energi i Bebyggelsen - Tekniska Egenskaper Och Beräkningar - Resultat Från Projektet BETSi, (2010); Kunzel H.M., Effect of interior and exterior insulation on the hygrothermal behaviour of exposed walls, Materials and Structures/Materiaux et Constructions, 31, 206, pp. 99-103, (1998); Morelli M., Ronby L., Mikkelsen S.E., Minzari M.G., Kildemoes T., Tommerup H.M., Energy retrofitting of a typical old Danish multi-family building to a "nearly-zero" energy building based on experiences from a test apartment, Energy and Buildings, 54, pp. 395-406, (2012); Weller B., Rexroth S., Jakubetz S., Denkmal und Energie - Technologien und Systeminnovationen Zur Energieversorgung und -einsparung Bei Baudenkmalen, (2008); Haupl P., Fechner H., Petzold H., Interior Retrofit of masonry wall to reduce energy and eliminate moisture damage: Comparison of modeling and field performance, Proceedings of Thermal Performance of the Exterior Envelopes of Whole Buildings IX, (2010); Johansson H., Tilläggsisolering Av Tegelfasader På Flerbostadshus Från 1940- Till 1960-talet, (2011); Capener C.-M., Sandin K., Molnar M., Jonsson J., Energy efficient retrofitting of a 1950s multi-dwelling block house considering hygrothermal properties - Field measurements and simulation, Proceedings of 5th International Building Physics Conference, (2012); Rasmussen T.V., Retrofitting listed buildings: Measures, savings and requirements, The Open Construction and Building Technology Journal, 5, 2011, pp. 174-181, (2011); Binz A., Moosmann A., Steinke G., Schonhardt U., Fregnan F., Simmler H., Brunner S., Ghazi K., Bundi R., Heinemann U., Schwab H., Cauberg J.J.M., Tenpierik M.J., Johannesson G.A., Thorsell T.I., Erb M., Nussbaumer B., Vacuum Insulation in the Building Sector. Systems and Applications (Subtask B), (2005); Viriden K., Retrofit buildings close to passive house standard, Proceedings of International Conference Central Europe Towards Sustainable Building CESB, (2007); Dreyer J., Korjenic A., Investigation of the hygrical-thermal suitability of vacuum insulation boards for refurbishing of Viennese "gründerzeit"-buildings, Proceedings of 7th International Vacuum Insulation Symposium, Duebendorf/Zurich, (2005); Kubina L., Etics with integrated vacuum insulation panels, Proceedings of International Conference Central Europe Towards Sustainable Building CESB, (2010); Binz A., Steinke G., Fassadendämmung mit Vakuum, Applica, 113, 6, pp. 22-30, (2006); Zwerger M., Klein H., Integration of VIP's into external wall insulation systems, Proceedings of 7th International Vacuum Insulation Symposium, (2005); Heinemann U., Kastner R., VIP-PROVE: Vakuumisolationspaneele - Bewährung in der Baupraxis. Wissenschaftliche Begleitforschung. Schlussbericht Energieoptimiertes Bauen, ViBau Report ZAE 2-1210-11 (2010), (2010); Schwab H., Wachtel J., Scheuerpflug H., Stark C., Heineman U., Ebert H.-P., Fricke J., Entwicklung und Anwendung von Evakuierten Höchsteffizienten Dämmungen für Gebäude (Vakuumdämmung für Gebäude) Project Final Report ZAE 2-1203-21, (2004); Sveipe E., Jelle B.P., Wegger E., Uvslokk S., Grynning S., Thue J.V., Time B., Gustavsen A., Improving thermal insulation of timber frame walls by retrofitting with vacuum insulation panels - Experimental and theoretical investigations, Journal of Building Physics, 35, 2, pp. 168-188, (2011); Pfluger R., Hasper W., Schulze Darup B., Sommer D., Forstner M., Wissenschaftlige Analyse Eines Auf Vorgefertigten Vakuum-Paneel- Verbundplatten Beruhenden Innendämmsystems. Abschlussbericht, (2008); Johansson P., Assessment of the risk for mold growth in a wall retrofitted with vacuum insulation panels, Proceedings of 9th Nordic Symposium on Building Physics, (2011); Simmler H., Brunner S., Heinemann U., Schwab H., Kumaran K., Mukhopadhyaya P., Quenard D., Sallee H., Noller K., Kucukpinar-Niarchos E., Stramm C., Tenpierik M.J., Cauberg J.J.M., Erb M., Vacuum Insulation Panels. Study on VIP-components and Panels for Service Life Prediction of VIP in Building Applications (Subtask A), (2005); Simmler H., Brunner S., Vacuum insulation panels for building application: Basic properties, aging mechanisms and service life, Energy and Buildings, 37, 11 SPEC. ISS., pp. 1122-1131, (2005); Fumed Silica, (2013); Fricke J., Material research for the optimization of thermal insulations, High Temperatures - High Pressures, 25, 4, pp. 379-390, (1993); Schwab H., Stark C., Wachtel J., Ebert H.-P., Fricke J., Thermal bridges in vacuum-insulated building façades, Journal of Thermal Envelope and Building Science, 28, 4, pp. 345-355, (2005); Tenpierik M., Cauberg H., Analytical models for calculating thermal bridge effects caused by thin high barrier envelopes around vacuum insulation panels, Journal of Building Physics, 30, 3, pp. 185-215, (2007); Ghazi Wakili K., Bundi R., Binder B., Effective thermal conductivity of vacuum insulation panels, Building Research &amp; Information, 32, 4, pp. 293-299, (2004); Ghazi Wakili K., Stahl T., Brunner S., Effective thermal conductivity of a staggered double layer of vacuum insulation panels, Energy and Buildings, 43, 6, pp. 1241-1246, (2011); Brunner S., Stahl T., Ghazi Wakili K., Single and double layered vacuum insulation panels of same thickness in comparison, Proceedings of Building Enclosure Science &amp; Technology (BEST) Conference BEST 3 High Performance Buildings - Combining Field Experience with Innovation, (2012); SS-EN 13165:2012. Thermal Insulation Products for Buildings. Factory Made Rigid Polyurethane Foam (PU) Products, (2012); Brunner S., Simmler H., In situ performance assessment of vacuum insulation panels in a flat roof construction, Vacuum, 82, 7, pp. 700-707, (2008); Brunner S., Discussions on the Long-term Durability Prediction of VIP, (2013); Brunner S., Ghazi Wakili K., Hints for an additional aging factor regarding the thermal performance of vacuum insulation panels with pyrogenic silica core, Vacuum, 100, pp. 4-6, (2014); Larsson U., Lonnroth G., Landshövdingehus och trähus i Göteborg, Den Nordiske Træstad, 28, (1972); Nilsson T., Energideklaration för Kungsladugård 35:12, Göteborg, (2009); Molander C., Olofsson M., Methods and Potentials to Reduce Peaks in Heating Power Demand - In Residential Building, (2012); MATLAB, Vers. R2011b, (2011); Mata E., Energy Efficiency and Carbon Dioxide Mitigation in Building Stocks: Development of Methodology Using the Swedish Residential Stock, (2011); Protimeter HygroTrac Remote Wireless Monitoring System: Instruction Manual, (2007); Hoogenboom C., Discussion on the Causes for Missing Data, (2012); Johansson P., Retrofitting of Old Exterior Wall with Vacuum Insulation Panels: Meaurements of Thermal Properties, Moisture Performance and Practical Considerations, 2 VOL., (2012); Petersson B.-A., Byggnaders Klimatskärm: Fuktsäkerhet, Energieffektivitet, Beständighet, (2009); Fraunhofer I.B.P., WUFI 2D Transient Heat and Moisture Transport, Vers. 3.3.2, Fraunhofer IBP, (2010)</t>
  </si>
  <si>
    <t>2-s2.0-84893823171</t>
  </si>
  <si>
    <t>Tariku F.; Simpson Y.</t>
  </si>
  <si>
    <t>Hygrothermal performance assessment of vented and ventilated wall systems: An experimental study</t>
  </si>
  <si>
    <t>https://www.scopus.com/inward/record.uri?eid=2-s2.0-84966549735&amp;partnerID=40&amp;md5=42d6774f04326e3eab723b1c0fc4a6e8</t>
  </si>
  <si>
    <t>Based on analysis of the drying and wetting potentials of a particular local climate, designers choose wall systems with or without an air gap between a sheathing membrane and a cladding layer. In addition to the capillary break that the air gap provides, thereby reducing the moisture transfer from wet cladding to the interior of the wall, the airspace will add the thermal resistance of the wall system and reduce the heat flow across the wall system. These moisture and thermal performances are straightforward to understand if the air in the air cavity is assumed to be a "still air." In this paper, an experimental study is undertaken to understand the impact of airflow through an air cavity on the moisture and thermal performance of wall systems. To achieve this objective three test panels are instrumented and monitored in the field-experimental setting: one with no air gap, another one with an air gap but restricted airflow, and the third one with an air gap and open for airflow. The second and third wall systems have the same air gap width but different top flashing designs creating vented and ventilated wall systems. For the wall systems' orientation and boundary conditions considered in this study, the wall with no air gap accumulates relatively high moisture content on the sheathing board, stud, and bottom plate and also has high moisture content changes in a year cycle when compared to the vented and ventilated wall systems. In general, the hygrothermal performances of vented and ventilated wall systems are comparable. During the winter period when relatively high moisture accumulation occurs, the upper section of the ventilated wall system shows slightly lower moisture content compared to that of the vented wall system. The temperature readings of the sheathing boards in the vented and ventilated wall systems are slightly warmer than that of the wall with no air gap for 85.5% and 73% of the time (based on hourly data of a year), respectively. For the balance of a period of time, the sheathing boards in the walls with an air cavity are slightly cooler than that of the wall with an air gap. Although the low temperature on the sheathing board, which is caused by solar radiation-induced airflow, is beneficial during a cooling season, the air gap and the associated airflowmayreduce the heat gain that may be obtained from solar radiation during the heating season. The implications of air cavity and flashing design (airflow rate) on the heating and cooling load calculations of different orientations, wall configurations, and climate require further investigation. © 2013 ASHRAE.</t>
  </si>
  <si>
    <t>Air traffic control; Heat resistance; Moisture; Moisture control; Moisture determination; Prestressed materials; Solar radiation; Structural design; Temperature; Temperature control; Ventilation; Capillary breaks; Heating and cooling loads; High moisture contents; Hygrothermal performance; Low temperatures; Moisture transfer; Radiation-induced; Thermal Performance; Walls (structural partitions)</t>
  </si>
  <si>
    <t>Bassett M.R., McNeil, Drained and Vented Cavity Walls-measured Ventilation Rates, (2005); Burnett E., Straube J., Karagiozis A., Synthesis Report and Guidelines, (2004); Hazleden D., Morris P., The Influence of Design on Drying of Wood-Frame Walls under Controlled Conditions, (2002); Survey of Building Envelope Failures in the Coastal Climate of British Columbia, (1998); (2005); Onysko M.D., Drying of Walls with Ventilation: A Parametric Analysis, (2000); Rousseau M.Z., Dalgliesh W.A., Selected Findings of An IRC Study of the Wetting and Drying Potentials of Wood-frame Walls Exposed to Different Climates, (2004); Shi X., Burnett E., Ventilation drying in walls with vapor impermeable claddings, Proceedings of the 3rd International Conference in Building Physics and Building Engineering, pp. 395-402, (2006); Simpson Y., Field Evaluation of Ventilation Wetting and Drying of Rain Screen Walls in Coastal British Columbia, (2010); Straube J., VanStraaten R., Burnett E., Schumacher C., Review of Literature and Theory, (2004); Straube J., Onysko M.D., Schumacher C., Methodology and Design of Field Experiments for Monitoring the Hygrothermal Performance of Wood Frame Enclosures, Journal of Thermal Envelope and Building Science, 26, 2, pp. 123-151, (2002); Tariku F., Ge H., Moisture Response of Sheathing Board in Conventional and Rain-Screen Wall Systems with Shiplap Cladding, Journal of Testing and Evaluation, 39, pp. 381-388, (2010)</t>
  </si>
  <si>
    <t>2-s2.0-84966549735</t>
  </si>
  <si>
    <t>Trainor T.M.; Smegal J.; Straube J.; Parekh A.</t>
  </si>
  <si>
    <t>Measured and predicted moisture performance of high-R wall assemblies in cold climates</t>
  </si>
  <si>
    <t>https://www.scopus.com/inward/record.uri?eid=2-s2.0-85053690335&amp;partnerID=40&amp;md5=c40858b54d303b9d96618e937a0ecb60</t>
  </si>
  <si>
    <t>The wall system is a key component of an energy-efficient building. Incremental increases in building enclosure insulation levels have resulted in reduced heat loss and space heating loads. However, there are challenges that arise, including changes in the construction process and concerns about the long-term durability of these new assemblies. Of primary concern are the effects of higher insulation levels on the overall moisture performance and durability of the building enclosure. In the past, some practitioners and designers have resisted the use of low permeability exterior insulation as part of a high R-value wall system because of the concern that it will reduce drying and result in moisture accumulation within the wall system. An alternative approach to achieving high R-values is to use thick (20–50 cm [8–20 in.]) cavity spaces filled with insulation. A field study was conducted of four full-scale high-R (approximately R-30 effective) wall assemblies and one standard wall (for comparison), on both the north and south orientation, using both exterior insulation construction and thick insulation-filled wall systems. The study was performed in Waterloo, Ontario, which is on the border of IECC Climate Zones 5 and 6. The measured moisture performance data from the full-scale test walls along with interior and exterior boundary conditions was used to validate a hygrothermal model for the testing location. The model was then used to predict performance in Climate Zones 4 through 8. Both the field measurements and hygrothermal modeling demonstrated that exterior-insulated walls were much more tolerant to cold weather moisture accumulation as a result of interior air leakage into the assembly than thick cavity-insulated walls. There was also correlation between measurements and hygrothermal modeling on the slow drying of the wood sheathing following a rain leak with low permeance exterior insulation and interior vapor barrier. However, when the interior vapor barrier layer was removed, the assembly dried much more quickly. Both the field measurements and hygrothermal analysis from this study showed that the least risky wall with respect to moisture-related durability issues was an exterior-insulated wall with sufficient exterior insulation to allow a Class II or Class III vapor control layer to be used on the interior. © 2016 U.S. Government.</t>
  </si>
  <si>
    <t>Climate models; Durability; Enclosures; Energy efficiency; Insulation; Moisture; Prestressed materials; Building materials; Intelligent buildings; Building enclosure; Construction process; Energy efficient building; Field measurement; Hygrothermal analysis; Long term durability; Moisture accumulation; Moisture performance; Walls (structural partitions)</t>
  </si>
  <si>
    <t>Arena L., Owens P., Mantha P., Measured performance of an R-40 double-stud wall in Climate Zone 5a, The Thermal Performance of The Exterior Envelopes of Whole Buildings XII International Conference, (2013); Fraunhofer I.B.P.,  Pro V. 5.1, (2011); Hutcheon N., Principles applied to an insulated masonry wall, Canadian Building Digest, 50, (1964); Kane R., Titley G., Case histories of moisture monitoring in residential walls, Thermal Insulation: Materials and Systems, ASTM STP, 922, pp. 615-629, (1987); Maref W., Armstrong M., Rousseau M., Lei W., A field monitoring investigation of the effect of adding different exterior thermal insulation materials on the hygrothermal response of wood-frame walls in a cold climate, The Building Enclosure Science &amp; Technology Conference, (2010); Ministry of Municipal Affairs and Housing. Ontario Building Code 2012 Compendium, Supplementary Standard SB-1, (2012); National Building Code of Canada, (2015); Passive House Requirements, (2014); Proskiw G., The performance of energy-efficient residential building envelope systems, Proceedings of Thermal Performance of The Exterior Envelopes of Buildings VI, pp. 391-398, (1995); Smegal J., Straube J., High-R walls case study analysis, Building America Report 0903, (2009); Smegal J., Straube J., Building America Special Research Project: High-R Walls Case Study Analysis (BA-0903), (2014); Straube J., Controlling cold-weather condensation using insulation, Building Science Digest, 163, (2011); Straube J., Burnett E., Building Science for Building Enclosures, (2005); Straube J., Onysko D., Schumacher C., Methodology and design of field experiments for monitoring the hygrothermal performance of wood frame enclosures, Journal of Building Physics, 26, 2, pp. 123-151, (2002); Trainor T., The Hygrothermal Performance of Exterior Insulated Wall Systems, (2014); Trainor T., Smegal J., Analysis of Exterior Insulated High-R Wall Systems, (2015); Ueno K., Monitoring of double-stud wall moisture conditions in the northeast, Building America Report, (2015)</t>
  </si>
  <si>
    <t>2-s2.0-85053690335</t>
  </si>
  <si>
    <t>Langmans J.; Klein R.; Roels S.</t>
  </si>
  <si>
    <t>Numerical and experimental investigation of the hygrothermal response of timber frame walls with an exterior air barrier</t>
  </si>
  <si>
    <t>10.1177/1744259112473934</t>
  </si>
  <si>
    <t>https://www.scopus.com/inward/record.uri?eid=2-s2.0-84876795906&amp;doi=10.1177%2f1744259112473934&amp;partnerID=40&amp;md5=705bb9fc248548d5fe5b299a43b849b3</t>
  </si>
  <si>
    <t>Laboratory tests and numerical simulations to study the hygrothermal consequences of using an exterior air barrier in light-weight building envelopes are discussed. Full-scale test walls are placed between a vertical hot and coldbox, operating at controlled temperatures, humidity levels and total air pressures. The test walls are exposed to different boundary conditions during five consecutive measuring stages. Each test wall is provided with 18 thermocouples, 15 relative humidity, 3 heat flux and 1 pressure gauge sensor, covering the most important positions of the wall. In this way, the obtained results can be used as detailed validation data for heat, air and moisture (HAM)-models with a strong focus on natural and forced air convection. The main emphasis of this article is the evaluation of a numerical model with the current dataset. The model used is a modified version of DELPHIN 5 including a quasi-steady state airflow model with the ability to capture natural convection. © The Author(s) 2013.</t>
  </si>
  <si>
    <t>Exterior air barrier; HAM; hotbox/coldbox; natural convection; numerical simulation; timber frame walls</t>
  </si>
  <si>
    <t>Atmospheric pressure; Computer simulation; Heat flux; Natural convection; Thermocouples; Controlled temperature; Different boundary condition; Experimental investigations; Exterior air barriers; Forced-air convection; HAM; hotbox/coldbox; Timber frames; Timber</t>
  </si>
  <si>
    <t>Brown W.C., Bomberg M.T., Ullett J.M., Measured thermal resistance of frame walls with defects in the installation of mineral fibre insulation, Journal of Building Physics, 16, 4, pp. 318-339, (1993); Desta T.Z., Jelle L., Staf R., Experimental Data Set for Validation of Heat, Air and Moisture Transport Models of Building Envelopes, Building and Environment, 46, 5, pp. 1038-1046, (2011); Derome D., Moisture accumulation in cellulose insulation caused by air leakage in flat wood frame roofs, Journal of Building Physics, 28, 3, pp. 269-287, (2005); Grunewald J., Diffusiver und Konvektiver Stoff-und Energietransport, (1997); Hagentoft C.E., Kalagasidis A.S., Adl-Zarrabi B., Assessment method of numerical prediction models for combined heat, air and moisture transfer in building components: Benchmarks for one-dimensional cases, Journal of Building Physics, 27, 4, pp. 327-352, (2004); Holos S.B., Relander T.-O., Airtightness measurements of wood frame low energy, Proceedings of 2nd BEST Conference; Hygrothermal Performance of Building Materials and Products - Determination of Water Vapour Transmission Properties, (2001); Thermal Insulation - Determination of Steady-state Thermal Resistance and Related Properties - Guarded Hot Plate Apparatus, (1991); Janssen H., Thermal Performance of Highly Insulated Wood Frame Walls, (1997); Janssens A., Reliable Control of Interstitial Condensation in Lightweight Roof Systems, (1998); Janssens A., Hens H., Interstitial condensation due to air leakage: A sensitivity analysis, Journal of Building Physics, 27, 1, pp. 15-29, (2003); Jokisalo J., Kurnitski J., Korpi M., Building leakage, infiltration, and energy performance analyses for Finnish detached houses, Building and Environment, 44, 2, pp. 377-387, (2009); Kalamees T., Airtightness and air leakages of new lightweight single-family detached houses in Estonia, Building and Environment, 42, 6, pp. 2369-2377, (2007); Kalamees T., Vinha J., Hygrothermal calculations and laboratory tests on timber-framed wall structures, Building and Environment, 38, 5, pp. 689-697, (2003); Kumaran K., Material Properties - Final Report, (1996); Langmans J., Klein R., Roels S., Hygrothermal risks of using exterior air barrier systems for highly insulated light weight walls: A laboratory investigation, Building and Environment, 56, 10, pp. 192-202, (2012); Langmans J., Klein R., De Paepe M., Potential of wind barriers to assure airtightness of wood-frame low energy constructions, Energy and Buildings, 42, 12, pp. 2376-2385, (2010); Langmans J., Nicolai A., Klein R., Numerical simulation of building components - Towards an efficient implementation of air convection in HAM-models, 9th Nordic Symposium on Building Physics; Langmans J., Nicolai A., Klein R., A quasi-steady state implementation of air convection in a transient heat and moisture building component model, Building and Environment, 58, 12, pp. 208-218, (2012); Li Q., Rao J., Fazio P., Development of HAM tool for building envelope analysis, Building and Environment, 44, 5, pp. 1065-1073, (2009); Nicolai A., Modelling and Numerical Simulation of Salt Transport and Phase Transitions in Unsaturated Porous Building Materials, (2007); Okland O., Convection in Highly-insulated Building Structures, (1998); Relander T.O., Bauwens G., Roels S., The influence of structural floors on the airtightness of wood-frame houses, Energy and Buildings, 43, pp. 639-652, (2011); Riesner K., Natürliche Konvektion in Losen Ausenwanddämmungen, (2003); Roels S., Carmeliet J., Hens H., A comparison of different techniques to quantify moisture content profiles in porous building materials, Journal of Thermal Envelope and Building Science, 27, 4, pp. 261-276, (2004); Sandberg P.I., Bankvall C., Sikander E., The effect and cost impact of poor airtightness - Information for developers and clients, Proceedings of Thermal Performance of the Exterior Envelopes of Whole Buildings X International Conference; Teasdale-St-Hilaire A., Derome D., Comparison of experimental and numerical results of wood-frame wall assemblies wetted by simulated wind-driven rain infiltration, Energy and Buildings, 39, 11, pp. 1131-1139, (2007); Tenwolde A., Rose W.B., Moisture control strategies for the building envelope, Journal of Building Physics, 19, 3, pp. 206-214, (1996); Thue J.V., Skogstad H.B., Homb A., Wood frame walls in cold climate - Vapour barrier requirements, Journal of Building Physics, 20, 1, pp. 67-75, (1996)</t>
  </si>
  <si>
    <t>2-s2.0-84876795906</t>
  </si>
  <si>
    <t>Svoboda Z.</t>
  </si>
  <si>
    <t>The effects of leakages in roofs with ventilated air layers - A CFD approach</t>
  </si>
  <si>
    <t>IBPSA 2007 - International Building Performance Simulation Association 2007</t>
  </si>
  <si>
    <t>https://www.scopus.com/inward/record.uri?eid=2-s2.0-84869762758&amp;partnerID=40&amp;md5=d74319df849dfeb265bdbcaeae29a6fd</t>
  </si>
  <si>
    <t>The following paper is focused on hygrothermal behaviour of roofs with ventilated air layers subjected to air leakages in their internal decks (the internal partial construction located below the ventilated air layer). Possibilities of CFD modeling of such constructions are discussed in the first part of the paper including the problem of introduction of water vapour diffusion into calculation. A brief comparison of results from CFD analysis and from calculation based on a technical standard is also included. The main part of the paper includes a case study concerning various effects of leakages in three basic types of ventilated roofs. General conclusion discussing the significance of leakages is included in the final part of the paper.</t>
  </si>
  <si>
    <t>CFD analysis; Condensation risk; Heat and moisture transfer; Leakages; Ventilated roofs</t>
  </si>
  <si>
    <t>Computational fluid dynamics; Leakage (fluid); Moisture control; Ventilation; Air layers; Air leakage; CFD analysis; CFD modeling; Effects of leakage; Heat and moisture transfer; Hygrothermal; Technical standards; Ventilated roofs; Water vapour diffusion; Roofs</t>
  </si>
  <si>
    <t>Ciucasu C., Gilles J., Montoya E., Arquis E., Convection phenomena in loose-fill attics, Proceedings of the 7th Symposium Building Physics In the Nordic Countries, (2005); Czech Technical Standard CSN 730540, Thermal Protection of Buildings, (2005); Flovent 6.1, (2005); Ge H., Fazio P., Experimental evaluation of thermal response and condensation performance of metal curtain walls subjected to air leakage, Journal of Architectural Engineering, 10, 2, pp. 61-68, (2004); Hagentoft C.E., Introduction to Building Physics, Lund: Studentlitteratur, (2001); Mortensen L.H., Woloszyn M., Hohota R., Rusaouen G., CFD modelling of moisture interactions between air and constructions, Proceedings of the 9th International IBPSA Conference - Building Simulation, pp. 801-808, (2005); Serkitjis M., Wahlgren P., Hagentoft C.E., The Thermal Effects of Convection In Horizontal Insulations," Proceedings of the 6th Symposium Building Physics In the Nordic Countries, pp. 103-110, (2002); Svoboda Z., Moisture effects of leakages in building construction: Finite element modelling, Architectural Science Review, 49, 4, pp. 340-348, (2006); Svoboda Z., The use of CFD modelling in the design of ventilated roofs, Proceedings of the 4th National IBPSA Conference - SBTP, pp. 3-8, (2006); Wahlgren P., Measurements and Simulations of Convective Heat Transfer In Loose-fill Attic Insulation," Proceedings of the 6th Symposium Building Physics In the Nordic Countries, pp. 95-101, (2002)</t>
  </si>
  <si>
    <t>2-s2.0-84869762758</t>
  </si>
  <si>
    <t>Numerical investigation of the influence of room factors on HAM transport in a full-scale experimental room</t>
  </si>
  <si>
    <t>50</t>
  </si>
  <si>
    <t>10.1016/j.buildenv.2011.10.021</t>
  </si>
  <si>
    <t>https://www.scopus.com/inward/record.uri?eid=2-s2.0-82055194145&amp;doi=10.1016%2fj.buildenv.2011.10.021&amp;partnerID=40&amp;md5=0542959125cd74a5e318ec63035f5832</t>
  </si>
  <si>
    <t>To model the indoor environment influenced by room factors including moisture loads and ventilation conditions, the governing equations of heat, air and moisture (HAM) transport inside the room and through the envelope, including the coupling process of the interaction of heat and moisture between indoor air and envelope, need to be solved. This paper presents a CFD model of the indoor environment that takes into account the heat and moisture transfer through the envelope in a single simulation environment. The comparisons between experimental data and simulation results show close agreement. This model is then implemented in 12 cases to study the influence of moisture loads, ventilation rates, and positions of the air inlet and outlet on the indoor environment and on the heat and moisture transport through the envelope. Simulation results show that the humidity responses of the test room vary significantly for different moisture loads from 42. g/h to 91. g/h and for different ventilation rates from 0.5 air change per hour (ach) to 1. ach. Changing the positions of the ventilation vents alters the air flow pattern significantly, thus affecting the ventilation efficiency. With a heat and moisture source inside the test room, the changed ventilation efficiency influences the indoor environment significantly, especially under low ventilation rates. The increased ventilation rate carries away more heat and moisture, which reduces both temperature and moisture levels inside the room. Under the mixed convection condition, the indoor temperature and moisture levels dominate the heat and moisture transport through the wall system. © 2011 Elsevier Ltd.</t>
  </si>
  <si>
    <t>Building envelope; CFD coupling; Large-scale test room; Single simulation environment; Whole building HAM transport; Wood paneling</t>
  </si>
  <si>
    <t>Circuit simulation; Computer simulation; Moisture control; Moisture determination; Ventilation; Air inlet; Airflow patterns; Building envelopes; CFD models; Coupling process; Experimental data; Governing equations; Heat and moisture transfer; Indoor air; Indoor environment; Indoor temperature; Large scale tests; Low ventilation; Moisture level; Moisture transport; Numerical investigations; Simulation environment; Test room; Through the wall; Ventilation efficiency; Ventilation rate; Whole building HAM transport; airflow; building; computational fluid dynamics; convection; flow pattern; heat transfer; humidity; moisture transfer; numerical model; ventilation; Environmental testing</t>
  </si>
  <si>
    <t>ASHRAE handbook. Fundamentals, (2005); Wemhoff A.P., Frank M.V., Predictions of energy savings in HVAC systems by lumped models, Energy Build, 42, 10, pp. 1807-1814, (2010); Tariku F., Kumaran K., Fazio P., Integrated analysis of whole building heat, air and moisture transfer, Int J Heat Mass Transfer, 53, 15-16, pp. 3111-3120, (2010); Rode C., Grau K., Moisture buffering and its consequence in whole building hygrothermal modeling, J Build Phys, 31, 4, pp. 333-360, (2008); Kalagasidis A.S., Weitzmann P., Nielsen T.R., Peuhkuri R., Hagentoft C.E., Rode C., The international building physics toolbox in Simulink, Energy Build, 39, 6, pp. 665-674, (2007); Kunzel H.M., Holm A., Zirkelbach D., Karagiozis A.N., Simulation of indoor temperature and humidity conditions including hygrothermal interactions with the building envelope, Solar Energy, 78, 4, pp. 554-561, (2005); Simonson C.J., Salonvaara M., Ojanen T., The effect of structures on indoor humidity-possibility to improve comfort and perceived air quality, Indoor Air, 12, 4, pp. 243-251, (2002); Woloszyn M., Rode C., Subtask 1-Modeling principles and common exercises, Section 3.6: advances in 3D airflow modeling by Paepe M. Annex 41 final report, (2008); Van Belleghem M., Steeman H.J., Steeman M., Janssens A., De Paepe M., Sensitivity analysis of CFD coupled non-isothermal heat and moisture modelling, Build Environ, 45, 11, pp. 2485-2496, (2010); Van Belleghem M., Steeman M., Willockx A., Janssens A., De Paepe M., Benchmark experiments for moisture transfer modelling in air and porous materials, Build Environ, 46, 4, pp. 884-898, (2011); Neale A., A study in computational fluid dynamics for the determination of convective heat and vapour transfer coefficients, (2007); Steeman H.J., Janssens A., Carmeliet J., Paepe M., Modelling indoor air and hygrothermal wall interaction in building simulation: comparison between CFD and a well-mixed zonal model, Build Environ, 44, 3, pp. 572-583, (2009); Janssen H., Roels S., Qualitative and quantitative assessment of interior moisture buffering by enclosures, Energy Build, 41, 4, pp. 382-394, (2009); Amissah P., Indoor air quality - combining air humidity with construction moisture, (2005); Erriguible A., Bernada P., Couture F., Roques M., Modeling of heat and mass transfer at the boundary between a porous medium and its surroundings, J Dry Technol, 23, 3, pp. 455-472, (2005); Van Schijndel J., Guidelines for heat and moisture modelling in constructions using multiphysics FEM software, pp. 59-62, (2008); Fazio P., Vera S., Rao J., Yang X., Ge H., Datasets of whole-building HAM indoor conditions for one-room and vertical two-room experimental setups, (2007); Yang X., Vera S., Rao J., Ge H., Fazio P., Full-scale experimental investigation of moisture buffering effect and indoor moisture distribution; Vera S., Fazio P., Rao J., Interzonal air and moisture transport through large horizontal openings in a full-scale two-story test-hut: part 1 - experimental study, Build Environ, 45, 5, pp. 1192-1201, (2010); COMSOL 3.5 multiphysics user's guide, (2008); Pepper D.W., Wang X.; Li Y., Fazio P., Rao J., An investigation of moisture buffering performance of wood paneling at room level and its buffering effect on a test room, Build Environ, 47, 1, pp. 205-216, (2012); COMSOL 3.5 chemical engineering module user's guide, (2008); COMSOL 3.5 heat transfer module user's guide, (2008)</t>
  </si>
  <si>
    <t>2-s2.0-82055194145</t>
  </si>
  <si>
    <t>52</t>
  </si>
  <si>
    <t>Thorsell T.; Bomberg M.</t>
  </si>
  <si>
    <t>Integrated methodology for evaluation of energy performance of the building enclosures: Part 3 - Uncertainty in thermal measurements</t>
  </si>
  <si>
    <t>10.1177/1744259111404381</t>
  </si>
  <si>
    <t>https://www.scopus.com/inward/record.uri?eid=2-s2.0-79960014590&amp;doi=10.1177%2f1744259111404381&amp;partnerID=40&amp;md5=331541b072c0db7dadbcdac563430888</t>
  </si>
  <si>
    <t>Thermal performance of building enclosure is typically based on laboratory tests performed on dry materials without consideration of air and moisture movement through the assembly. To address the field performance of the assembly, however, one must combine measurements and hygrothermal modeling. Hygrothermal models are necessary to include effects of climate and in particular the effects of moisture movement on thermal performance. Full-scale testing is necessary to relate findings of the models to actual construction details. The first paper in this series (Bomberg and Thorsell, 2008) introduced a test program that starting with benchmarking of the R-value of the tested wall in standard conditions, examined the effects of air flow on its thermal performance. This test program does not use the average R-values of the wall as it is in the ASTM testing, but measures local thermal resistance in selected places and calculates the average R-values. The second paper in this series (Thorsell and Bomberg, 2008) applied this integrated testing and modeling approach to selected wood framed residential walls, identifying the magnitude of air flow effects on steady-state thermal resistance, as well as demonstrating that the thermal performance of the top of the wall differs from that at the bottom. It also showed a systematic and time dependent shift in thermal performance caused by moisture movement. In this, third paper in the series, we present measurements performed on metal frame walls that introduce additional sources of uncertainty in the experimental results. We end with a discussion on the need of improvements to testing procedures for evaluation of energy performance of building enclosures. © The Author(s) 2011.</t>
  </si>
  <si>
    <t>air flow; full-scale testing; local measurements; metal frame; thermal performance</t>
  </si>
  <si>
    <t>Air; Climate models; Enclosures; Energy efficiency; Mixed convection; Moisture; Software testing; Walls (structural partitions); Air flow; Full-scale testing; Local measurement; metal frame; Thermal Performance; Uncertainty analysis</t>
  </si>
  <si>
    <t>Bomberg M., Pazera M., Zhang J., On validation of hygric characteristics for heat, air and moisture models, Proceedings of 3rd International Conference on Building Physics; Bomberg M., Thorsell T., Integrated methodology for evaluation of energy performance of the building enclosures, Journal of Building Physics, 32, pp. 33-48, (2008); Kosny J., Yarbrough D., Childs P., Syed A., How the same wall can have several different R-values, Proceedings of Thermal Performance of the Exterior Envelopes of Whole Buildings X International Conference; Lstiburek J.W., Pressnail K., Timusk J., Transient interaction of buildings with HVAC systems - updating the state of the art, Journal of Thermal Envelope and Building Science, 24, 2, pp. 111-131, (2000); Lstiburek J.W., Pressnail K., Timusk J., Evaluating the air pressure response of multizonal buildings, Journal of Building Physics, 25, pp. 299-320, (2002); Ojanen T.R., Kumaran M.K., Effect of exfiltration on hygrothermal behaviour of a residential wall assembly, Journal of Building Physics, 19, pp. 215-228, (1996); Onysko D.M., Jones S.K., Airtightness of wall sheathing as a function of lumber drying, Thermal Performance of Exterior Envelopes of Building IV, Conference Proceedings; Pazera M., Model Based Characterization of Construction Materials for Hygrothermal Performance Evaluation, (2007); Proskiw G., Parekh A., A Proposed Test Procedure for Separating Exterior Envelope Air Leakage from Interior Partition Air Leakage, (2005); Thorsell T., Bomberg M., Integrated methodology for evaluation of energy performance of the building enclosures: Part II - Examples of application to residential walls, Journal of Building Physics, 32, pp. 49-65, (2008)</t>
  </si>
  <si>
    <t>2-s2.0-79960014590</t>
  </si>
  <si>
    <t>Bishara N.; Gasparella A.</t>
  </si>
  <si>
    <t>CFD modelling of forced convection at a building component surface and coupling to dynamic HAM simulation - Assessment and evaluation of methods and accuracy</t>
  </si>
  <si>
    <t>10.1016/j.egypro.2017.09.673</t>
  </si>
  <si>
    <t>https://www.scopus.com/inward/record.uri?eid=2-s2.0-85033398009&amp;doi=10.1016%2fj.egypro.2017.09.673&amp;partnerID=40&amp;md5=64b179cd06bfd83716ebf76ff6dc26f8</t>
  </si>
  <si>
    <t>This paper utilizes computational fluid dynamics and heat, air, and moisture modeling to enhance the quality of results for the case study of forced convection through an air cavity. Different turbulence models and near-wall modeling techniques were combined and a mesh sensitivity study was conducted to ensure numerical correctness. The results are evaluated and discussed regarding their application to HAM simulation. Different approaches for the CFD input to HAM modeling are assessed and a comparison of numerical HAM results with laboratory measurements is performed. Results reveal that the number of wall surface subdivisions should be determined dependent on the CHTC course to achieve most accurate numerical representation of heat flux measurements. © 2017 The Authors. Published by Elsevier Ltd.</t>
  </si>
  <si>
    <t>CFD; Convective heat transfer coefficient; forced convection; HAM simulation; internal wall surface; turbulent boundary flow</t>
  </si>
  <si>
    <t>Air; Computational fluid dynamics; Forced convection; Heat flux; Heat transfer; Heat transfer coefficients; Turbulence models; Walls (structural partitions); Convective heat transfer Coefficient; HAM simulation; Heat , air , and moistures; Heat flux measurement; Internal walls; Laboratory measurements; Numerical representation; Turbulent boundary; Heat convection</t>
  </si>
  <si>
    <t>Flanders S.N., Heat flux tranducers measure in-situ building performance, Journal of Building Physics, pp. 28-52, (1994); Defraeye T., Blocken B., Derome D., Nicolai B., Carmeliet J., Convective heat and mass transfer modelling at air-porous material interfaces: Overview of existing methods and relevance, Chemical Engineering Science, 74, pp. 49-58, (2012); Van Belleghem M., Steeman H., Steeman M., Janssens A., De Paepe M., Sensitivity analysis of CFD coupled non-isothermal heat and moisture modelling, Building and Environment, 45, pp. 2485-2496, (2010); Incropera F.P., DeWitt D.P., Bergman T.L., Lavine A.S., Fundamentals of Heat and Mass Transfer. 6th Ed, (2007); Ariff M., Salim S.M., Cheah S.C., Wall y+ approach for dealing with turbulent flow over a surface mounted cube: Part 1 - Low reynolds number, Seventh International Conference on CFD in the MInerals and Process Industries CSIRO Proceedings, pp. 1-6, (2009); Ahmad T., Plee S.L., Myers J.P., Fluent User's Guide; Chen C.-J., Jaw S.Y., (1998); Ahmad T., Plee S.L., Myers J.P., Fluent Theory Guide; Nicolai A., Towards a Semi-Generic Simulation Framework for Mass and Energy Transport in Porous Materials, 9th Nordic Symposium on Building Physics - Full Papers, pp. 559-566, (2011)</t>
  </si>
  <si>
    <t>2-s2.0-85033398009</t>
  </si>
  <si>
    <t>Van Belleghem M.; Steeman M.; Janssen H.; Janssens A.; De Paepe M.</t>
  </si>
  <si>
    <t>Validation of a coupled heat, vapour and liquid moisture transport model for porous materials implemented in CFD</t>
  </si>
  <si>
    <t>81</t>
  </si>
  <si>
    <t>10.1016/j.buildenv.2014.06.024</t>
  </si>
  <si>
    <t>https://www.scopus.com/inward/record.uri?eid=2-s2.0-84908063111&amp;doi=10.1016%2fj.buildenv.2014.06.024&amp;partnerID=40&amp;md5=8d597c20f241a8459f39195f6941e97c</t>
  </si>
  <si>
    <t>Moisture-related damage is an important issue when looking at the performance of building envelopes. In order to accurately predict the moisture behaviour of building components, building designers can resort to Heat, Air and Moisture (HAM) models. In this paper a newly developed heat and mass transfer model that is implemented in a 3D finite volume solver, Fluent®, is presented. This allows a simultaneous modelling approach of both the convective conditions surrounding a porous material and the heat and moisture transport in the porous material governed by diffusion. Unlike most HAM models that often confine to constant convective transport coefficients it is now possible to better predict these convective boundary conditions. An important application of the model is the convective drying of porous building materials. Especially during the first drying stage, the drying rate is determined by the convective boundary conditions. The model was validated against a convective drying experiment from literature, in which a saturated ceramic brick sample is dried by flowing dry air over one side of the sample surface. Temperature and relative humidity measurements at different depths in the sample, moisture distribution profiles and mass loss measurements were compared with simulation results. An overall good agreement between the coupled model and the experiments was found, however, the model predicted the constant drying rate period better than the falling rate period. This was improved by adjusting the material properties. The adjustment of the material properties was supported by neutron radiography measurements. © 2014 Elsevier Ltd.</t>
  </si>
  <si>
    <t>CFD; Drying; HAM; Heat and moisture transfer; Porous material</t>
  </si>
  <si>
    <t>Drying; Porous materials; Coupled heat; HAM; Heat and moisture transfer; Moisture transport; boundary condition; computational fluid dynamics; construction material; diffusion; finite volume method; heat transfer; moisture transfer; porous medium; relative humidity; thermal convection; Computational fluid dynamics</t>
  </si>
  <si>
    <t>Fang L., Clausen G., Fanger P.O., Impact of temperature and humidity on the perception of indoor air quality, Indoor Air, 8, pp. 80-90, (1998); Simonson C.J., Salonvaara M., Ojanen T., The effects of structures on indoor humidity e possibility to improve comfort and perceived air quality, Indoor Air, 12, pp. 243-251, (2002); Mendes N., Winkelmann F.C., Lamberts R., Philippi P.C., Moisture effects on conduction loads, Energy Build, 35, 7, pp. 631-644, (2003); Osanyintola O.F., Simonson C.J., Moisture buffering capacity of hygroscopic building materials: experimental facilities and energy impact, Energy Build, 38, 10, pp. 1270-1282, (2006); Vereecken E., Roels S., Review of mould prediction models and their influence on mould risk evaluation, Build Environ, 51, 0, pp. 296-310, (2012); Woloszyn M., Rode C., IEA ANNEX41 whole building heat, air and moisture response - subtask1: modelling principles and common exercises, (2008); Steeman M., Janssens A., Steeman H.-J., Van Belleghem M., De Paepe M., On coupling 1D non-isothermal heat and mass transfer in porous materials with a multizone building energy simulation model, Build Environ, 45, pp. 865-877, (2010); Steeman M., Van Belleghem M., De Paepe M., Janssens A., Experimental validation and sensitivity analysis of a coupled BES-HAM model, Build Environ, 45, 10, pp. 2202-2217, (2010); Steeman H.-J., Van Belleghem M., Janssens A., De Paepe M., Coupled simulation of heat and moisture transport in air and porous materials for the assessment of moisture related damage, Build Environ, 44, 10, pp. 2176-2184, (2009); Van Belleghem M., Modelling coupled heat and moisture transfer between air and porous materials for building applications, (2013); Defraeye T., Convective heat and mass Transfer at Exterior building surfaces, (2011); Van Belleghem M., Steeman M., Willockx A., Janssens A., De Paepe M., Benchmark experiments for moisture transfer modelling in air and porous materials, Build Environ, 46, 4, pp. 884-898, (2011); Mortensen L.H., Woloszyn M., Rode C., Peuhkuri R., Investigation of microclimate by CFD modeling of moisture interactions between air and constructions, JBuild Phys, 30, 4, pp. 279-315, (2007); Defraeye T., Blocken B., Carmeliet J., Analysis of convective heat and mass transfer coefficients for convective drying of a porous flat plate by conjugate modelling, Int J Heat Mass Transf, 55, 1-3, pp. 112-124, (2012); Defraeye T., Houvenaghel G., Carmeliet J., Derome D., Numerical analysis of convective drying of gypsum boards, Int J Heat Mass Transf, 55, 9-10, pp. 2590-2600, (2012); Saneinejad S., Moonen P., Defraeye T., Derome D., Carmeliet J., Coupled CFD, radiation and porous media transport model for evaluating evaporative cooling in an urban environment, JWind Eng Industrial Aerodynamics, 104, 0, pp. 455-463, (2012); Van Belleghem M., Steeman M., Janssens A., De Paepe M., Heat, air and moisture transport modelling in ventilated cavity walls, JBuild Phys, (2014); Milly P.C.D., Moisture and heat transport in hysteretic, in homogeneous porous media: a matrix head-based formulation and a numerical model, Water Resour Res, 18, 3, pp. 489-498, (1982); Abahri K., Belarbi R., Trabelsi A., Contribution to analytical and numerical study of combined heat and moisture transfers in porous building materials, Build Environ, 46, 7, pp. 1354-1360, (2011); Landman K.A., Pel L., Kaasschieter E.F., Analytic modelling of drying of porous materials, Math Eng Industry, 8, 2, pp. 89-122, (2001); Zirkelbach D., Schmidt T., Kunzel H.M., Kehrer M., Bludau C., WUFI 2D, (2007); Delphin, Simulation program for the calculation of coupled heat, moisture, air, pollutant, and salt transport; Berger D., Pei D.C.T., Drying of hygroscopic capillary porous solids - a theoretical approach, Int J Heat Mass Transf, 16, pp. 293-302, (1973); Masmoudi W., Prat M., Heat and mass-transfer between a porous medium and a parallel external flow - application to drying of capillary porous materials, Int J Heat Mass Transf, 34, 8, pp. 1975-1989, (1991); Mohan V.P.C., Talukdar P., Three dimensional numerical modeling of simultaneous heat and moisture transfer in a moist object subjected to convective drying, Int J Heat Mass Transf, 53, 21-22, pp. 4638-4650, (2010); Shokouhmand H., Abdollahi V., Hosseini S., Vahidkhah K., Performance optimization of a brick dryer using porous simulation approach, Dry Technol, 29, 3, pp. 360-370, (2011); Kaya A., AydIn O., Dincer I., Numerical modeling of heat and mass transfer during forced convection drying of rectangular moist objects, Int J Heat Mass Transf, 49, 17-18, pp. 3094-3103, (2006); Oliveira L.S., Haghighi K., Conjugate heat and mass transfer in convective drying of porous media, Numer Heat Transf Part A Appl, 34, 2, pp. 105-117, (1998); Defraeye T., Blocken B., Derome D., Nicolai B., Carmeliet J., Convective heat and mass transfer modelling at air-porous material interfaces: overview of existing methods and relevance, Chem Eng Sci, 74, pp. 49-58, (2012); Amir H., Le Palec G., Daguenet M., S'echage superficiel d'un matériau poreux humide par convection forcée d'air chaud: couplage entre les équations de transfert dans le matériau et celles de la couche limite, Int J Heat Mass Transf, 30, 6, pp. 1149-1158, (1987); Zeghmati B., Daguenet M., Le Palec G., Study of transient laminar free convection over an inclined wet flat plate, Int J Heat Mass Transf, 34, 4-5, pp. 899-909, (1991); Dolinskiy A.A., Dorfman A.S.H., Davydenko B.V., Conjugate heat and mass transfer in continuous processes of convective drying, Int J Heat Mass Transf, 34, 11, pp. 2883-2889, (1991); Oliveira L.S., Haghighi K., Conjugate heat and mass transport in convective drying of multiparticle systems part II: soybean drying, Dry Technol, 16, 3-5, pp. 463-483, (1998); Murugesan K., Suresh H.N., Seetharamu K.N., Narayana P.A.A., Sundararajan T., Atheoretical model of brick drying as a conjugate problem, Int J Heat Mass Transf, 44, 21, pp. 4075-4086, (2001); Gnoth S., Hansel F., Hupl P., Fechner H., Aero-hygrothermisches Verhalten von Umfassungskonstruktionen mit Hohlrumen, Bauphysik, 30, 6, pp. 380-388, (2008); Janssen H., Blocken B., Carmeliet J., Conservative modelling of the moisture and heat transfer in building components under atmospheric excitation, Int J Heat Mass Transf, 50, 5-6, pp. 1128-1140, (2007); De Bonis M.V., Ruocco G., Ageneralized conjugate model for forced convection drying based on an evaporative kinetics, JFood Eng, 89, 2, pp. 232-240, (2008); Lamnatou C., Papanicolaou E., Belessiotis V., Kyriakis N., Finite volume modelling of heat and mass transfer during convective drying of porous bodies - non-conjugate and conjugate formulations involving the aerodynamic effects, Renew Energy, 35, 7, pp. 1391-1402, (2010); Lamnatou C., Papanicolaou E., Belessiotis V., Kyriakis N., Numerical study of the interaction among a pair of blunt plates subject to convective drying - a conjugate approach, Int J Therm Sci, 49, 12, pp. 2467-2482, (2010); Waananen K.M., Litchfield J.B., Okos M.R., Classification of drying models for porous solids, Dry Technol, 11, 1, pp. 1-40, (1993); Whitaker S., The role of irreversible thermodynamics and the Onsager relations in the analysis of drying phenomena, Proc sixth international drying symposium IDS'88, (1988); Janssen H., Thermal diffusion of water vapour in porous materials: fact or fiction?, Int J Heat Mass Transf, 54, 7-8, pp. 1548-1562, (2011); Grunewald J., Diffusiver und konvektiver Stoff - und Energietransport in kapillarporösen Baustoffen, (1997); Dean R.B., Reynolds number dependence of skin friction and other bulk flow variables in two-dimensional rectangular duct flow, JFluids Eng, 100, 2, pp. 215-223, (1978); Derluyn H., Janssen H., Moonen P., Carmeliet J., moisture transfer across the interface between brick and mortar joint, Proceedings of the 8th symposium on building Physics in Nordic Countries (NSB2008), (2008); Derluyn H., Griffa M., Mannes D., Jerjen I., Dewanckele J., Vontobel P., Et al., Probing salt crystallization damage mechanisms in porous limestone with neutron radiography and X-ray tomography, 5th international building physics conference (IBPC2012), Kyoto, Japan, (2012); Sedighi-Gilani M., Griffa M., Mannes D., Lehmann E., Carmeliet J., Derome D., Visualization and quantification of liquid water transport in softwood by means of neutron radiography, Int J Heat Mass Transf, 55, 21-22, pp. 6211-6221, (2012); Lehmann E.H., Frei G., Khne G., Boillat P., The micro-setup for neutron imaging: a major step forward to improve the spatial resolution, Nucl Instruments Methods Phys Res Sect A Accel Spectrom Detect Assoc Equip, 576, 23, pp. 389-396, (2007); Van Belleghem M., Steeman H.-J., Steeman M., Janssens A., De Paepe M., Sensitivity analysis of CFD coupled non-isothermal heat and moisture modelling, Build Environ, 45, 11, pp. 2485-2496, (2010); Defraeye T., Blocken B., Carmeliet J., Influence of uncertainty in heat-moisture transport properties on convective drying of porous materials by numerical modelling, Chem Eng Res Des, 91, pp. 36-42, (2013); Mujumdar A.S., Handbook of industrial drying, (2007)</t>
  </si>
  <si>
    <t>2-s2.0-84908063111</t>
  </si>
  <si>
    <t>Pallin S.; Hun D.; Boudreaux P.</t>
  </si>
  <si>
    <t>Simulating air leakage in walls and roofs using indoor and outdoor boundary conditions</t>
  </si>
  <si>
    <t>https://www.scopus.com/inward/record.uri?eid=2-s2.0-85024127442&amp;partnerID=40&amp;md5=be5795b932d1ee53dd33640913c63c4c</t>
  </si>
  <si>
    <t>Air leakage through the building envelope can result in large energy penalties but also have detrimental effects on the moisture durability of materials. Researchers have utilized computer simulations to estimate the risk of moisture damages due to air leakage through wall and roof assemblies. However, the accuracy of these simulations has limitations, as they typically employ a one-dimensional approach even though airflow-related problems are two or three dimensional. Furthermore, the flow rate and direction of the air that are used in these assessments are usually subjective values. To improve on previous research, this paper describes how to calibrate one-dimensional simulation tools through theoretical equations so that they can be used to study two-dimensional effects. Further, the present work provides guidance on how to use indoor and outdoor boundary conditions to estimate the air’s flow rate and direction using existing hygrothermal simulation tools. The proposed method will allow researchers and designers to drastically improve their assessments of the effects of air leakage on the moisture durability of wall and roof assemblies. © 2016 U.S. Government.</t>
  </si>
  <si>
    <t>Boundary conditions; Durability; Moisture; One dimensional; Risk perception; Roofs; Walls (structural partitions); Building envelopes; Energy penalties; Hygrothermal simulation; Moisture durabilities; One-dimensional approach; One-dimensional simulations; Theoretical equation; Two-dimensional effects; Air navigation</t>
  </si>
  <si>
    <t>ASCE/SEI 7-10, Minimum Design Loads for Buildings and Other Structures, (2010); 2015 International Residential Code, (2015); Kehrer M., Schmidt T., Radiation effects on exterior surfaces, Proceedings of Nordic Symposium on Building Physics 2008, (2008); Kunzel H.M., Modeling air leakage in hygrothermal envelope simulation, The BEST 3 Conference, (2012); Kunzel H.M., Zirkelbach D., Scfafaczek B., Vapour control design in wooden structures including moisture sources due air exfiltration, The 9th Nordic Symposium on Building Physics—NSB 2011, (2011); Lstiburek J., Understanding air barriers, ASHRAE Journal, 47, 7, pp. 24-30, (2006); Lstiburek J., WUFI: Barking up the wrong tree?, ASHRAE Journal, 57, 10, (2015); Pallin S., Boudreaux P., Kehrer M., Hun D., Jackson R., Desjarlais A., Moisture Durability Assessment of Selected Well-Insulated Wall Assemblies, (2015); Sherman M.H., Chan W.R., Building Ventilation: The State of The Art, Building Airtightness: Research and Practice, (2006)</t>
  </si>
  <si>
    <t>2-s2.0-85024127442</t>
  </si>
  <si>
    <t>Saito H.; Nishizawa S.; Kuwasawa Y.; Sawachi T.</t>
  </si>
  <si>
    <t>Investigation of pressure difference to assess hygrothermal behavior of wall assemblies with airflow</t>
  </si>
  <si>
    <t>AIJ Journal of Technology and Design</t>
  </si>
  <si>
    <t>10.3130/aijt.16.191</t>
  </si>
  <si>
    <t>https://www.scopus.com/inward/record.uri?eid=2-s2.0-79954500664&amp;doi=10.3130%2faijt.16.191&amp;partnerID=40&amp;md5=f626581d31ca273e03926fa22cb20aa4</t>
  </si>
  <si>
    <t>Several researches related to airflow within wood-frame wall assemblies have been conducted in order to assess their hygrothermal behavior. However there are very few reports which investigate boundary conditions such as pressure difference and/or leakage area to predict the airflow rate through wall cavities. This paper describes the pressure difference that causes the airflow for vertical direction within the wall assembly. The pressure difference between the crawl space and the attic on an actual wood frame house were measured in the winter season. Additionally effects of several factors, such as air-tightness of connections of the wall, outdoor wind velocity, and temperature difference between indoor and outdoor air, were experimentally investigated. The experimental results finally indicated that the pressure difference can be approximately predicted using the temperature difference between indoor and outdoor air when outdoor wind velocity is less than 1.5m/s.</t>
  </si>
  <si>
    <t>Field measurement; Pressure difference; Prevention of moisture problem; Thermal insulation; Wall assembly; Wooden frame house</t>
  </si>
  <si>
    <t>Houses; Moisture; Field measurement; Pressure difference; Prevention of moisture problem; Wall assembly; Wooden frames; Thermal insulation</t>
  </si>
  <si>
    <t>Qiu K., Haghighat F., Modeling the combined conduction-Air infiltration through diffusive building envelope, Energy and Buildings, 39, 11, pp. 1140-1150, (2007); Hayashi M., Osawa H., Prediction of indoor air quality considering the concealed air leaks in the improved houses,  AIVC Conference in 2008", 1, pp. 281-286, (2008)</t>
  </si>
  <si>
    <t>2-s2.0-79954500664</t>
  </si>
  <si>
    <t>Geving S.; Holme J.</t>
  </si>
  <si>
    <t>Vapour retarders in wood frame walls and their effect on the drying capability</t>
  </si>
  <si>
    <t>10.1016/j.foar.2012.12.003</t>
  </si>
  <si>
    <t>https://www.scopus.com/inward/record.uri?eid=2-s2.0-84943011771&amp;doi=10.1016%2fj.foar.2012.12.003&amp;partnerID=40&amp;md5=2f6b4cb98e90a678278091870597fb43</t>
  </si>
  <si>
    <t>Wood frame walls typically need a vapour barrier at the warm side to avoid interstitial condensation due to vapour diffusion and air leakages from the interior. A more vapour open material than the traditional vapour barriers, here called vapour retarder, could allow condensed moisture, built-in-moisture or moisture from minor leakages to dry to the interior in addition to the outward drying. The application of permeable vapour retarders in wood frame walls have been investigated in this study by the use of a hygrothermal simulation tool. A traditional wood frame wall usually has good drying possibilities to the exterior. If a vapour retarder should have an effect on the total drying, it must not be too vapour tight. The purpose of this study was to find some threshold value for the maximum vapour resistance of a vapour retarder-when a requirement is that it should have a relatively large effect of the total drying of the wall. The increased risk for condensation as the vapour resistance decreases has however not been investigated in this study. In general it was found that permeable vapour barriers have relatively little effect on the total drying of ordinary wood frame walls in a Nordic climate. © 2013 Higher Education Press Limited Company.</t>
  </si>
  <si>
    <t>Drying; Moisture; Vapour barrier; Vapour retarder; Wood frame wall</t>
  </si>
  <si>
    <t>Geving S., Holme J., Mean and diurnal indoor air humidity loads in residental buildings, Journal of Building Physics, 35, 4, pp. 392-421, (2012); Kunzel H.M., Humidity controlled vapour retarders reduce risk of moisture damages, Proceedings of the 4th Symposium on Building Physics in the Nordic Countries, pp. 447-454, (1996); Listiburek J., Moisture control for buildings, (2002); Vinha J., Hygrothermal performance of timber framed external walls in Finnish climate conditions, A method for determining the sufficient water vapour resistance of the interior lining of a wall assembly., (2007)</t>
  </si>
  <si>
    <t>2-s2.0-84943011771</t>
  </si>
  <si>
    <t>Langmans J.; Nicolai A.; Klein R.; Roels S.</t>
  </si>
  <si>
    <t>A quasi-steady state implementation of air convection in a transient heat and moisture building component model</t>
  </si>
  <si>
    <t>10.1016/j.buildenv.2012.07.011</t>
  </si>
  <si>
    <t>https://www.scopus.com/inward/record.uri?eid=2-s2.0-84864912438&amp;doi=10.1016%2fj.buildenv.2012.07.011&amp;partnerID=40&amp;md5=38ddd5287496d578c1f1acee80f787f4</t>
  </si>
  <si>
    <t>For many years, the coupled heat, air, and moisture (HAM) transport through multilayered building components has been an important research topic. As a result, a great number of numerical simulation tools have been developed to asses and predict the hygrothermal behaviour of building enclosures. But, while the literature shows that air transport has a significant impact on the heat and moisture response of light weight constructions, only few existing heat and moisture transport models include air flow as an active mass component. One of the reasons is the different time scale of air transport compared to the other transported quantities and the resulting difficulties in achieving acceptable simulation performance.The current article presents a quasi-steady state airflow model implementation in an existing transient HAM-model. The air transport is described as Darcy flow in porous media including a body force term to capture natural convection. One particular aim is the prediction of significant effects such as overlaying buoyant and externally driven air flow on the hygrothermal behaviour of building envelope components with sound simulation performances. Furthermore, the article includes an evaluation of the model for which three validation cases from the literature are used to show the applicability and limitations of the presented approach. © 2012 Elsevier Ltd.</t>
  </si>
  <si>
    <t>Air convection; Building component; Buoyancy; HAM; Numerical simulation model</t>
  </si>
  <si>
    <t>Equus asinus; Air; Building components; Buoyancy; Moisture; Porous materials; Power quality; Active mass; Air convection; Air flow; Air transport; Airflow model; Body forces; Building enclosure; Building envelopes; Coupled heat; Darcy flows; Different time scale; HAM; Hygrothermal; Light-weight constructions; Moisture transport; Multi-layered; Quasi-steady state; Research topics; Significant impacts; Simulation performance; Transient heat; airflow; building; buoyancy; computer simulation; Darcy law; flow modeling; heat transfer; moisture transfer; porous medium; thermal convection; Computer simulation</t>
  </si>
  <si>
    <t>Janssen H., The influence of soil moisture transfer on building heat loss via the ground, (2002); Kunzel H.M., Simultaneous heat and moisture transport in building components: one- and two-dimensional calculation using simple parameters, (1995); Rode Pedersen C., Combined heat and moisture transfer in building constructions, (1990); dos Santos G.H., Mendes N., Combined heat, air and moisture (HAM) transfer model for porous building materials, J Build Phys, 32, pp. 203-220, (2009); Nicolai A., Modelling and numerical simulation of salt transport and phase transitions in unsaturated porous building materials, (2007); Hagentoft C.E., Kalagasidis A.S., Adl-Zarrabi B., Roels S., Carmeliet J., Hens H., Et al., Assessment method of numerical prediction models for combined heat, air and moisture transfer in building components: benchmarks for one-dimensional cases, J Thermal Envelope Build Sci, 27, pp. 327-352, (2004); Hutcheon N.B., Humidified buildings, Can Build Dig, (1963); Rousseau M.Z., Control of surface and concealed condensation, Build Insight, 83, (1993); Janssens A., Reliable control of interstitial condensation in lightweight roof systems, (1998); Derome D., Moisture accumulation in cellulose insulation caused by air leakage in flat wood frame roofs, J Thermal Envelope Build Sci, 28, pp. 269-287, (2005); Kalamees T., Kurnitski J., Moisture convection performance of external walls and roofs, J Build Phys, 33, pp. 1-23, (2009); Desta T.Z., Langmans J., Roels S., Experimental data set for validation of heat, air and moisture transport models of building envelopes, Build Environ, 46, pp. 1038-1046, (2011); Zirkelbach D., Kunzel H.M., Schafaczek B., Dampfkonvektion wird berechenbar - Instationäres Modell zur Berücksichtigung von konvektivem Feuchteeintrag bei der Simulation von Leicht- baukonstruktionen, pp. 1-8, (2009); Ojanen T., Kohonen R., Kumaran M.K., Modeling heat, air, and moisture transport through building materials and components, Moisture control in buildings, (1994); Trechsel H.R., Moisture analysis and condensation control in building envelopes: (MNL 40), (2001); Li Q., Rao J., Fazio P., Development of HAM tool for building envelope analysis, Build Environ, 44, pp. 1065-1073, (2009); Saber H.H., Swinton M.C., Kalinger P., Paroli R.M., Long-term hygrothermal performance of white and black roofs in North American climates, Build Environ, 50, pp. 141-154, (2012); van Schijndel A.W.M., Modeling and solving building physics problems with FemLab, Build Environ, 38, pp. 319-327, (2003); Steeman H.-J., Belleghem M.V., Janssens A., Paepe M.D., Coupled simulation of heat and moisture transport in air and porous materials for the assessment of moisture related damage, Build Environ, 44, 10, pp. 2176-2184, (2009); Defraeye T., Blocken B., Carmeliet J., Analysis of convective heat and mass transfer coefficients for convective drying of a porous flat plate by conjugate modelling, Int J Heat and Mass Trans, 55, pp. 112-124, (2012); Grunewald J., Diffusiver und konvektiver Stoff- und Energietransport in kapillarporösen Baustoffen, (1997); Janssen H., Blocken B., Carmeliet J., Conservative modelling of the moisture and heat transfer in building components under atmospheric excitation, Int J Heat and Mass Trans, 50, pp. 1128-1140, (2007); Tariku F., Kumaran K., Fazio P., Transient model for coupled heat, air and moisture transfer through multilayered porous media, Int J Heat and Mass Trans, 53, pp. 3035-3044, (2010); Nield D., Bejan A., Convection in porous media, (2006); Descamps F., Continuum and discrete modelling of isothermal water and air flow in porous media, (1996); Hens H., Heat and moisture transport (in dutch), (2003); Nicolai A., (2007); Hindmarsh A., SUNDIALS: suite of nonlinear and differnential/algebraic equations solvers, (2005); Hagentoft C.-E., HAMSTAD: WP2: benchmark package, (2002); Klarsfeld S., Combarnous M., Analyse des transferts thermiques convectifs dans les isolants poreux perméables, Rev Gén Therm, 228, (1980); Powell F., Krarti M., Tuluca A., Air movement influence on the effective thermal resistance of porous insulations: a literature survey, J Build Phys, 12, pp. 239-251, (1989); Silberstein A., Langlais C., Arquis E., Natural convection in light fibrous insulating materials with permeable interfaces: onset criteria and its effect on the thermal performances of the product, J Build Phys, 14, pp. 22-42, (1990); Kohonen R., Kokko E., Ojanen T., Virtanen M., Thermal effects of air flows in building structures, (1985); Bejan A., Convection heat transfer, (2004); Saeid N.H., Pop I., Transient free convection in a square cavity filled with a porous medium, Int J Heat and Mass Trans, 47, 8-9, pp. 1917-1924, (2004); Patankar S.V., Numerical heat transfer and fluid flow, (1980); Langmans J., Nicolai A., Klein R., Grunewald J., Roels S., Numerical simulation of building components - Towards an efficient implementation of air convection in HAM-models, 9th nordic symposium on building physics, pp. 399-405, (2011); Langmans J., Klein R., Roels S., Hygrothermal risks of using exterior air barrier systems for highly insulated light weight walls: a laboratory investigation, Build Environ, 56, 10, pp. 192-202, (2012); Brown W.C., Bomberg M.T., Ullett J.M., Rasmussen J., Measured thermal resistance of frame walls with Defects in the Installation of mineral fibre insulation, J Build Phys, 16, pp. 318-339, (1993); Roels S., Talukdar P., James C., Simonson C.J., Reliability of material data measurements for hygroscopic buffering, Int J Heat and Mass Trans, 53, pp. 5355-5363, (2010)</t>
  </si>
  <si>
    <t>2-s2.0-84864912438</t>
  </si>
  <si>
    <t>9th International Conference and Exhibition - Healthy Buildings 2009, HB 2009</t>
  </si>
  <si>
    <t>Li Q.; Rao J.; Fazio P.</t>
  </si>
  <si>
    <t>Development of HAM tool for building envelope analysis</t>
  </si>
  <si>
    <t>10.1016/j.buildenv.2008.07.017</t>
  </si>
  <si>
    <t>https://www.scopus.com/inward/record.uri?eid=2-s2.0-59049084862&amp;doi=10.1016%2fj.buildenv.2008.07.017&amp;partnerID=40&amp;md5=e0a594ab88cd0028f3a4039739b39b49</t>
  </si>
  <si>
    <t>Moisture-related building envelope failures have resulted in costly rehabilitation in various regions of North America. To advance building envelope design towards an engineering approach and reduce the occurrence of future failures, an advanced numerical tool was developed, in conjunction with an extensive full-scale experiment, to investigate hygrothermal performance of various wood-frame wall assemblies. Major features of the tool are multi-dimensional and transient coupling of heat and moisture transport; natural air convection integrated in hygrothermal simulation through Darcy-Boussinesq approximation; heat transfer by conduction and convection of sensible and latent heat; moisture transport by vapor diffusion, capillary suction and convection; material database of common building materials in North America; experimental settings or weather data as boundary conditions; and moisture added in the building envelope to simulate the wetting process. The numerical tool achieves good compliances to the benchmarking cases of the HAMSTAD project, and its predictions have shown good agreement with data from the full-scale wall experiment. The numerical tool employs the commercial finite-element software to solve the governing equations. This approach provides building science researchers the flexibility to modify, maintain and share their modeling work efficiently. Crown Copyright © 2008.</t>
  </si>
  <si>
    <t>Building envelope design; Hygrothermal performance; Hygrothermal tool; Validation of numerical model; Wood-frame building envelope</t>
  </si>
  <si>
    <t>Air; Building materials; Buildings; Computer software; Construction equipment; Fluid dynamics; Moisture; Numerical methods; Safety engineering; Solar buildings; Walls (structural partitions); building construction; construction material; database; design method; finite element method; numerical model; simulation; software; Building envelope design; Hygrothermal performance; Hygrothermal tool; Validation of numerical model; Wood-frame building envelope; Structural design</t>
  </si>
  <si>
    <t>Barrett D., The renewal of trust in residential construction: an inquiry into the quality of condominium construction in British Columbia, (1998); Rousseau M., An overview of the survey of building envelope failures in the coastal climate of British Columbia, performed by Morrisson-Hershfield Limited for CMHC (1996), Journal of Building Physics, 22, 4, pp. 364-367, (1999); Fazio P., Ge H., Mao Q., Alturkistani A., Rao J., A test method to measure the relative capacity of wall panels to evacuate moisture from their stud cavity, Journal of Architectural Engineering, 13, 4, pp. 194-204, (2007); Janssen H., Blocken B., Carmeliet J., Conservative modelling of the moisture and heat transfer in building components under atmospheric excitation, International Journal of Heat and Mass Transfer, 50, 5-6, pp. 1128-1140, (2007); Kunzel H.M., The smart vapor retarder: an innovation inspired by computer simulations, ASHRAE Transactions, pp. 903-907, (1998); Beaulieu P., Cornick S.M., Dalgliesh W.A., Djebbar R., Kumaran M.K., Lacasse M.A., Et al., MEWS methodology for developing moisture management strategies: application to stucco-clad wood-frame walls in North America, (2001); Hens H., Carmeliet J., Performance prediction for masonry walls with EIFS: using calculation procedures and laboratory testing, Journal of Thermal Envelope and Building Science, 25, 3, pp. 167-187, (2002); Mukhopadhyaya P., Kumaran K., Tariku F., van Reenen D., Application of hygrothermal modeling tool to assess moisture response of exterior walls, Journal of Architectural Engineering, 12, pp. 178-186, (2006); Rode C., Model for multidimensional heat, air and moisture conditions in building envelope components, (2007); Comsol-Multiphysics, (2007); Burch D.M., MOIST: a PC program for predicting heat and moisture transfer in building envelopes, (1997); Carmeliet J., Hens H., Roels S., Adan O., Brocken H., Cerny R., Et al., Determination of the liquid water diffusivity from transient moisture transfer experiments, Journal of Thermal Envelope and Building Science, 27, pp. 277-305, (2004); Cornick S., Maref W., Abdulghani K., van Reenen D., 1-D hygIRC: a simulation tool for modeling heat, air and moisture movement in exterior walls, (2003); Hagentoft C.-E., Kalagasidis A.S., Adl-Zarrabi B., Roels S., Carmeliet J., Hens H., Et al., Assessment method of numerical prediction models for combined heat, air and moisture transfer in building components: benchmarks for one-dimensional cases, Journal of Thermal Envelope and Building Science, 27, pp. 327-352, (2004); Hagentoft C.-E., Introduction to building physics, (2001); Brunauer S., Emmett P.H., Teller E., Adsorption of gases in multimolecular layers, Journal of the American Chemical Society, 60, pp. 309-319, (1938); Kumaran M.K., Annex 24, heat, air and moisture transfer in insulated envelope parts. Task 3: material properties, (1996); Carmeliet J., Roels S., Determination of the isothermal moisture transport properties of porous building materials, Journal of Thermal Envelope and Building Science, 24, pp. 183-210, (2001); Durner W., Hydraulic conductivity estimation for soils with heterogeneous pore structure, Water Resources Research, 30, 2, pp. 211-224, (1994); Wu Y., Kumaran M., Fazio P., Moisture buffering capacities of five North American building materials, Journal of Testing and Evaluation, 36, 1, (2008); Kumaran K., Lackey J., Normandin N., van Reenen D., Tariku F., Thermal and moisture transport property database for common building and insulating materials, (2002); Fazio P., Athienitis A., Marsh C., Rao J., Environmental chamber for investigation of building envelope performance, Journal of Architectural Engineering, 3, 2, pp. 97-103, (1997); Alturkistani A., Fazio P., Rao J., Mao Q., A new test method to determine the relative drying capacity of building envelope panels of various configurations, Journal of Building and Environment, 43, 12, pp. 2203-2215, (2008)</t>
  </si>
  <si>
    <t>2-s2.0-59049084862</t>
  </si>
  <si>
    <t>The drying potential and risk for mold growth in compact wood frame roofs with built-in moisture</t>
  </si>
  <si>
    <t>33</t>
  </si>
  <si>
    <t>10.1177/1744259109351441</t>
  </si>
  <si>
    <t>https://www.scopus.com/inward/record.uri?eid=2-s2.0-76449109176&amp;doi=10.1177%2f1744259109351441&amp;partnerID=40&amp;md5=47eb82e69c242473bf2af40186232347</t>
  </si>
  <si>
    <t>Built-in moisture in the insulation layer of a compact roof will generally dry out very slowly, compared to the drying rate in a ventilated roof construction. Intended or unintended leakages of outdoor air through the insulation layer may, however, speed up the drying rate. In this investigation, the drying potential of various configurations of compact wood frame roofs with a high level of built-in moisture has been investigated, through test house measurements and hygrothermal simulations. Compact wood frame roof elements has been wetted, and mold spores has been added to the elements. The hygrothermal conditions of the elements has been monitored through a period of 2 years, and the microbial conditions has also been registered. The possible drying effect of outdoor air leaking through the insulation layer from one side of the roof to the other has been investigated.</t>
  </si>
  <si>
    <t>Air leakage; Built-in moisture; Compact roof; Mold growth.</t>
  </si>
  <si>
    <t>Curing; Dewatering; Earthquake effects; Leakage (fluid); Moisture; Molds; Powders; Air leakage; Built-in moisture; Dry-out; Drying effects; Drying rates; Hygro-thermal conditions; Hygrothermal simulation; Insulation layers; Mold growth; Outdoor air; Speed-ups; Various configuration; Ventilated roofs; Wood frame roof; Roofs</t>
  </si>
  <si>
    <t>Ayerst G., The effect of moisture and temperature on growth and spore germination in some fungi, J. Stored Prod. Res., 5, pp. 127-141, (1969); Du Q.P., Geissen A., Noack C., Die genauigkeit der elektrischen holzfeuchtemessung nach dem wiederstandprinzip, Holz Als Roh- Und Werkstoff, 49, pp. 305-311, (1991); Geving S., Uvslukk S., Moisture Conditions in Timber Frame Roofs and Wall Structures - Test House Measurements of Heat-, Air and Moisture Transfer Models, (2000); Geving S., Time B., Hovde P.J., Water vapour permeability and hygroscopic sorption curves for various building materials, Proceedings of CIB W 40 Meeting in Prague, Heat and Moisture Transfer in Buildings, Prague, Czech Republic, 30 August-3 September; Grant C., Hunter C.A., Flannigan B., Bravery A.F., The moisture requirements of moulds isolated from domestic dwellings, Int. Biodeterior., 25, pp. 259-284, (1989); Holme J., Noreng K., Kvande T., Moisture and mould growth in compact roofs - Results from a three-stage field survey, Proceedings of 8th Symposium on Building Physics in the Nordic Countries; Kunzel H.M., Simultaneous Heat and Moisture Transport in Building Components - One- And Two-dimensional Calculation Using Simple Parameters, (1995); McGinnis M.R., Indoor mould development and dispersal, med, Mycol., 45, pp. 1-9, (2007); Nielsen K.F., Holm G., Uttrup L.P., Nielsen P.A., Mould growth on building materials under low water activities. Influence of humidity and temperature on fungal growth and secondary metabolism, Int. Biodeterior. Biodegrad., 54, pp. 325-336, (2004); Noreng K., Time B., Kvande T., Uvslukk S., Moisture in compact roofs - Results of a two stage field survey, Proceedings of 7th Symposium on Building Physics in the Nordic Countries; Nunes C., Usall J., Manso T., Torres R., Olmo M., Garcia J.M., Effect of high temperature treatments on growth of penicillium spp. and their development on valencia oranges, food, Sci. Technol. Int., 13, pp. 63-68, (2007); Oustad M., Uvslukk S., Gustavsen A., The Drying Potential of Compact Roofs - Diffusion, Project Report 386, Norwegian Building Research Institute, Trondheim, (2005); Paukstys V., Seduikyte L., Buska A., The influence of ventilated air channels on the distribution of temperature and moisture in the mineral wool plates of roof construction, Proceedings of 9th Interantional Conference of Modern Building Materials, pp. 131-135; Salonvaara M., Nieminen J., Hygrothermal performance of low-sloped roofs with groove ventilation, Proceedings of 6th Symposium on Building Physics in the Nordic Countries, pp. 239-246; Sedlbauer K., Prediction of mould growth by hygrothermal calculation, J. Building Phys., 25, pp. 321-336, (2002); Uvslukk S., Selfdrying Mechanisms in Compact Roofs, (2008); Viitanen H., Critical Conditions for the Mould Growth in Concrete and in Other Materials Contacted with Concrete - Durability of Concrete Against Mould Growth, VTT-Work-6, Finland, (2004); Wang Q., Wood-Based Boards - Response to Attack by Mould and Stain Fungi, (1992); Zabel R.A., Morell J.J., Wood Microbiology - Decay and Its Prevention, (1992)</t>
  </si>
  <si>
    <t>2-s2.0-76449109176</t>
  </si>
  <si>
    <t>Falk J.; Molnár M.; Larsson O.</t>
  </si>
  <si>
    <t>Investigation of a simple approach to predict rainscreen wall ventilation rates for hygrothermal simulation purposes</t>
  </si>
  <si>
    <t>10.1016/j.buildenv.2013.11.025</t>
  </si>
  <si>
    <t>https://www.scopus.com/inward/record.uri?eid=2-s2.0-84890885926&amp;doi=10.1016%2fj.buildenv.2013.11.025&amp;partnerID=40&amp;md5=cf04108ecc94bc73cd94e0b44d10c8dd</t>
  </si>
  <si>
    <t>Hygrothermal simulation programs are commonly used by design engineers to analyse moisture performance of building envelopes. For ventilated assemblies, programs typically require the user to enter cavity ventilation rates. If such input data are not prepared on physical grounds, it can impair the quality of the simulation results. In earlier papers: (1) estimations of ventilation rates in experimental walls based on cavity air velocity measurements; (2) comparative calculations based on monthly and annual tabular climate data, a simple driving force model and models of cavity airflow and heat balance, have been presented. In this study, the models and hourly climate field data were used to perform calculations of transient cavity ventilation rates for comparison with previous experimental results. For 13 different time periods extending from 24 to 91h, the calculated average ventilation rates were within or very close to the experimentally estimated limits for the ventilation rate. Additionally, the calculations captured the temporal variability and the physical cause of ventilation airflow in the cavities reasonably well. The applied calculation methodology can be developed into a user friendly approach to estimate realistic ventilation rate input data for hygrothermal purposes. Limitations and possible improvements of the methodology are discussed. The influence of the accuracy and resolution of the ventilation rate input data in simulations is demonstrated in a case study. © 2013 Elsevier Ltd.</t>
  </si>
  <si>
    <t>Air change rate; Hygrothermal simulation; Rainscreen wall; Ventilated cavity; Ventilation rate modelling</t>
  </si>
  <si>
    <t>Climate models; Input output programs; Air change rates; Hygrothermal simulation; Rainscreens; Ventilated cavities; Ventilation rate; accuracy assessment; airflow; building; computer simulation; flow velocity; heat balance; moisture; prediction; ventilation; Ventilation</t>
  </si>
  <si>
    <t>BBR Regelsamling för byggande, BBR 2012 (Building regulations, BBR 2012), (2012); Hagerstedt S.O., Harderup L.E., Importance of a proper applied airflow in the facade air gap when moisture and temperature are calculated in wood framed walls, 5th International symposium on building and ductwork air-tightness, (2010); Hagerstedt S.O., Arfvidsson J., Comparison of field measurements and calculations of relative humidity and temperature in wood framed walls, Thermophysics 2010-15th international meeting of thermophysical society, (2010); Falk J., Sandin K., Ventilated rainscreen cladding: measurements of cavity air velocities, estimation of air change rates and evaluation of driving forces, Build Environ, 59, pp. 164-176, (2013); Falk J., Sandin K., Ventilated rainscreen cladding: a study of the ventilation drying process, Build Environ, 60, pp. 173-184, (2013); Larsson O., Modelling of temperature profiles in a concrete slab under climatic exposure, Struct Concr, 10, pp. 193-201, (2009); Kronwall J., Air flows in building components, (1980); Burnett E.F.P., Straube J., Vents, ventilation drying and pressure moderation, (1995); Andersen K.T., Ventilerede hulrum i vaegkontruktioner - en teoretisk analyse. By og Byg Dokumentation 001, (2000); Gudum C., Moisture transport and convection in building envelopes - ventilation in light weight outer walls, (2003); Pinon J., Davidovic D., Burnett E., Srebric J., Characterization of ventilation airflow in screen-type wall systems, (2004); Bassett M.R., McNeil S., Drained and vented cavity walls - measured ventilation rates, IRHACE Conference institution of refrigeration, heating and air conditioning engineers, (2005); Bassett M.R., McNeil S., The theory of ventilation drying applied to New Zealand cavity walls, IRHACE Conference institution of refrigeration, heating and air conditioning engineers, (2005); Ge H., Ye Y., Investigation of ventilation drying of rainscreen walls in the coastal climate of British Columbia, Thermal performance of the exterior envelopes of whole buildings X, (2007); Davidovic D., Pinon J., Burnett E.F.P., Srebric J., Analytical procedures for estimating airflow rates in ventilated, screened wall systems (VSWS), Build Environ, 47, pp. 126-137, (2012); Straube J., VanStraaten R., Burnett E., Schumacher C., Review of literature and theory, (2004); Salonvarra M., Karagiozis A.N., Pazera M., Miller W., Air cavities behind claddings - what have we learned?, Thermal performance of the exterior envelopes of whole buildings X, (2007); Finch G., Straube J., Ventilated wall claddings: review, field performance and hygrothermal modeling, Thermal performance of the exterior envelopes of whole buildings X, (2007); Rousseau J., Drying of walls with ventilated stucco cladding: a parametric analysis, (1999); Davidovic D., Srebric J., Burnett E.F.P., Modeling convective drying of ventilated wall chambers in building enclosures, Int J Thermal Sci, 45, pp. 180-189, (2006); Shi X., Burnett E., Ventialtion drying in enclosure walls with vinyl cladding, Thermal performance of the exterior envelopes of whole buildings X, (2007); Shi X., Schumacher C., Burnett E., Ventilation drying under simulated climate conditions, (2004); Lawton M.D., Brown C.B., Lang A.M., Stucco-clad wall drying experiment, Thermal performance of the exterior envelopes of whole buildings VIII, (2002); Hazleden D., Envelope drying rates experiment - final report, (2001); Schumacher C., Shi X., Burnett E., Ventilation drying in screen-type wall systems: a physical demonstration, (2004); TenWolde A., Carll C., Malinauskas V., Airflows and moisture conditions in walls of manufactured homes, Airflow performance of building envelopes, components and systems, pp. 137-155, (1995); Hansen M.H., Nicolajsen A., Stang B., On the influence of cavity ventilation on moisture content in timber frame walls, Building physics 2002-6th nordic symposium, (2002); Nore K., Thue J.V., Time B., Rognvik E., Ventilated wooden claddings - a field investigation, 7th Symposium on building physics in the nordic countries, (2005); Popp W., Mayer E., Kunzel H., Untersuchungen über die belüftung des luftraumes hinter vorgesetzen fassadenbekleidung aus kleinformatigen elementen, (1980); Sandin K., Energieffektivisering av miljonprogrammets flerbostadshus genom beständiga tilläggsisoleringssystem: Uttorkning av blöt lättbetongvägg efter utvändig tilläggsisolering med olika system, (2012); Straube J., van Straaten R., Field studies of ventilation drying, Thermal performance of the exterior envelopes of whole buildings IX, (2004); Drumheller S.C., Carll C.G., Effect of cladding systems on moisture performance of wood-framed walls in a mixed-humid climate, Thermal performance of the exterior envelopes of whole buildings XI, (2010); McNeil S., Bassett M., Moisture recovery rates for walls in temperate climates, 11th Canadian conference on building science and technology, (2007); Hagentoft C.E., Introduction to building physics, (2001); Mundt-Petersen S.O., Moisture safety in wood frame walls. Blind evaluation of the hygrothermal calculation tool WUFI 5.0 using field measurements and determination of factors affecting the moisture safety, (2013); Thelandersson S., Isaksson T., Mould resistance design (MRD) model for evaluation of risk for microbial growth under varying climate conditions, Build Environ, 65, pp. 18-25, (2013)</t>
  </si>
  <si>
    <t>2-s2.0-84890885926</t>
  </si>
  <si>
    <t>Hurel N.; Pailha M.; Garnier G.; Woloszyn M.</t>
  </si>
  <si>
    <t>Impact of different construction details on air permeability of timber frame wall assemblies: Some experimental evidences from a three-scale laboratory study</t>
  </si>
  <si>
    <t>10.1177/1744259116673983</t>
  </si>
  <si>
    <t>https://www.scopus.com/inward/record.uri?eid=2-s2.0-85029611758&amp;doi=10.1177%2f1744259116673983&amp;partnerID=40&amp;md5=1566179a333369c58afe665d10f054e8</t>
  </si>
  <si>
    <t>Poor airtightness in buildings can lead to an over-consumption of energy and to many issues such as moisture damage and poor indoor climate. The timber frame constructions are particularly subject to air leakages, and further knowledge in this field is needed to meet the regulation requirements tightened by the development of low-energy and passive houses. This article focuses on a three-scale experimental study carried out in laboratories to quantify the impact of a number of construction details on timber frame wall airtightness. For this purpose, we built two original experimental setups and to complement an existing large-scale facility. Each setup enables to carry out pressurization tests at a different scale. The results put all together give quantitative information for more accurate simulations of building performance. Some specific construction details were investigated. It has been found in particular that the density of the insulation material is significant since a soft glass wool can have an air permeability three times higher than a rigid one with the same thermal performances. Moreover, it has been pointed out that the bond between the gypsum board and the insulation has a significant impact on the resulting pressure-flow law, and to ensure that there is no air gap the whole interface should be glued. The air flow directions also influence the flow values for high-pressure differences. Finally, at wall scale we have found that the sealing of the gypsum boards and the vapor barrier against the bottom wall plate is not very significant as long as the exterior side is sealed correctly. On the other hand, a proper sealing on both sides of a window is required because of the air gaps along it. © The Author(s) 2016.</t>
  </si>
  <si>
    <t>Airtightness; laboratory study; pressure-flow law; timber frame</t>
  </si>
  <si>
    <t>Air permeability; Building materials; Gypsum; High pressure effects; Thermal insulation; Timber; Airtightness; Consumption of energy; Experimental evidence; Laboratory studies; Pressure flow; Quantitative information; Timber frame construction; Timber frames; Walls (structural partitions)</t>
  </si>
  <si>
    <t>Becker R., Air permeability and thermal performance of concrete block wall specimens, Journal of Building Physics, 34, pp. 163-177, (2010); Belleudy C., Hurel N., Chhay M., Et al., Démarche pour l'Étude de l'Impact des Transferts d'Air Liés Aux Défauts d'Étanchéité sur le Comportement de l'Enveloppe des Bâtiments À Ossature Bois, (2014); Billard Y., Debicki G., Coudert L., Leakage rate through a non-cracked concrete wall, comparison between two situations: Air pressure test and accident conditions, Nuclear Engineering and Design, 235, pp. 2109-2123, (2005); Carnets Prebat Mininfil, Mémento Étanchéité - Construction Ossature Bois - Isolation Thermique Intégrée, (2010); Chan W.R., Joh J., Sherman M.H., Analysis of air leakage measurements of US houses, Energy and Buildings, 66, pp. 616-625, (2013); Desta T.Z., Langmans J., Roels S., Experimental data set for validation of heat, air and moisture transport models of building envelopes, Building and Environment, 46, pp. 1038-1046, (2011); Dullien F.A., Porous Media, Fluid Transport and Pore Structure, (1992); Kalamees T., Air tightness and air leakages of new lightweight single-family detached houses in Estonia, Building and Environment, 42, pp. 2369-2377, (2007); Kronvall J., Air Flows in Building Components, (1980); Kumaran M.K., Heat, Air and Moisture Transport, 3, (1996); Labat M., Woloszyn M., Garnier G., Et al., Assessment of the air change rate of airtight buildings under natural conditions using the tracer gas technique. Comparison with numerical modelling, Building and Environment, 60, pp. 37-44, (2013); Langmans J., Klein R., Roels S., Hygrothermal risks of using exterior air barrier systems for highly insulated light weight walls: A laboratory investigation, Building and Environment, 56, pp. 192-202, (2012); Liddament M.W., A Guide to Energy Efficient Ventilation, (1996); Marmoret L., Lewandowski M., Perwuelz A., An air permeability study of anisotropic glass wool fibrous products, Transport in Porous Media, 93, pp. 79-97, (2012); Okland O., Convection in Highly-insulated Building Structures, (1998); Pinto M., Viegas J., De Freitas V.P., Air permeability measurements of dwellings and building components in Portugal, Building and Environment, 46, pp. 2480-2489, (2011); Piot A., Woloszyn M., Brau J., Et al., Experimental wooden frame house for the validation of whole building heat and moisture transfer numerical models, Energy and Buildings, 43, pp. 1322-1328, (2011); Relander T.-O., Bauwens G., Roels S., Et al., The influence of structural floors on the airtightness of wood-frame houses, Energy and Buildings, 43, pp. 639-652, (2011); Relander T.-O., Heiskel B., Tyssedal J.S., The influence of the joint between the basement wall and the wood-frame wall on the airtightness of wood-frame houses, Energy and Buildings, 43, pp. 1304-1314, (2011); Relander T.-O., Thue J.V., Gustavsen A., Air Tightness Performance of Different Sealing Methods for Windows in Wood-frame Buildings, (2008); Roy S., Junk M., Sundar S., Understanding the porosity dependence of heat flux through glass fiber insulation, Mathematical and Computer Modelling, 43, pp. 485-492, (2006); Sherman M.H., Chan R., Building Airtightness: Research and Practice, (2004); Sherman M.H., Palmiter L., Uncertainties in fan pressurization measurements, Airflow Performance of Building Envelopes, Components, and Systems, ASTM STP 1255, pp. 266-283, (1995); Vallabh R., Banks-Lee P., Seyam A.M., New approach for determining tortuosity in fibrous porous media, Journal of Engineered Fibers and Fabrics, 5, pp. 7-15, (2010); Van Den Bossche N., Huyghe W., Moens J., Et al., Airtightness of the window-wall interface in cavity brick walls, Energy and Buildings, 45, pp. 32-42, (2012); Younes C., Shdid C.A., Bitsuamlak G., Air infiltration through building envelopes: A review, Journal of Building Physics, 36, pp. 267-302, (2012)</t>
  </si>
  <si>
    <t>2-s2.0-85029611758</t>
  </si>
  <si>
    <t>Ananian J.S.D.; O'Brien S.M.; Saldanha C.M.</t>
  </si>
  <si>
    <t>Air leakage, moisture migration, and condensation in a building enclosure</t>
  </si>
  <si>
    <t>Forensic Engineering 2015: Performance of the Built Environment - Proceedings of the 7th Congress on Forensic Engineering</t>
  </si>
  <si>
    <t>10.1061/9780784479711.005</t>
  </si>
  <si>
    <t>https://www.scopus.com/inward/record.uri?eid=2-s2.0-84957945984&amp;doi=10.1061%2f9780784479711.005&amp;partnerID=40&amp;md5=4d1349a0f43afe180b427577efa6d58a</t>
  </si>
  <si>
    <t>Water vapor within a building can lead to condensation on or within building envelopes via airflow/air leakage, vapor diffusion, and on exposed surfaces. Water vapor inside a building naturally equalizes between adjacent environments via diffusion, and because air naturally flows towards regions of lower air pressure. Each transport mechanism requires different design approaches, since vapor diffusion calculations are relatively straightforward but predicting air leakage is much more difficult and often depends upon construction and workmanship issues rather than simple material properties. Condensation on interior surfaces is a more visible issue than the often-concealed issues of vapor diffusion and air leakage, but can still be difficult to diagnose and resolve. This session presents multiple case studies and practical examples to demonstrate the nature of these issues and illustrates how design and construction issues can cause both short-and long-term problems. Specific issues such as exterior icing, condensation on fenestration, concealed condensation within interior and exterior walls, and deterioration/failure of roofing systems are discussed. © 2016 ASCE.</t>
  </si>
  <si>
    <t>Atmospheric pressure; Condensation; Diffusion; Structural design; Water vapor; Building enclosure; Building envelopes; Design and construction; Long-term problems; Lower air pressure; Moisture migration; Multiple-case study; Transport mechanism; Forensic engineering</t>
  </si>
  <si>
    <t>2-s2.0-84957945984</t>
  </si>
  <si>
    <t>Kamilia A.; Rafik B.; Rachid B.; Liu B.</t>
  </si>
  <si>
    <t>Convective to diffusive contribution of mass transfer in porous building materials through peclet number evaluation</t>
  </si>
  <si>
    <t>Proceedings of the 15th International Heat Transfer Conference, IHTC 2014</t>
  </si>
  <si>
    <t>https://www.scopus.com/inward/record.uri?eid=2-s2.0-84964478859&amp;partnerID=40&amp;md5=1c7d0d14f5b53bcb164b3d5ebc394ddd</t>
  </si>
  <si>
    <t>The interest of this paper lays to exanimate the contribution of two main mechanisms: moisture convection and diffusion on HAM (Heat Air and Moisture) transfer in porous building envelopes and to define the validity of the sub-models. Heat transfer is considered in the strongly coupled situation where the mass and heat flux are temperature, total pressure and moisture content dependents. Based on this model, a numerical simulation is performed and focuses on one-dimensional problem for drying test boundary conditions. Temperature and moisture content profiles have been predicted as function of time versus the corresponding physics. Moreover, a detailed parametric analysis was carried out in order to investigate the influence of typical governing parameters over the range of 0.1 ≺ Pe ≺ 50 , 0.001 ≺ Lu ≺13 , 0.005 ≺ Bu ≺100 , 0.05 ≺ Pn ≺ 2 , 2 ≺ Ko ≺ 30 and 0.01 ≺ Lup ≺100 . Results show that convection becomes a prominent driving potential face to the diffusion process when the hygric state is quite stable between the ambiance and the envelope. Thought, at high Pe number convection favors drying comparing to the pure diffusion process.</t>
  </si>
  <si>
    <t>Building envelopes; Convection; Diffusion; Mass transfer and drying; Multiphase flow; Thermal insulation; Total pressure gradient</t>
  </si>
  <si>
    <t>Diffusion; Drying; Heat convection; Heat flux; Mass transfer; Moisture; Moisture determination; Multiphase flow; Solar buildings; Thermal insulation; Building envelopes; Content dependent; Convection and diffusion; Governing parameters; One dimensional problems; Parametric -analysis; Porous building material; Total pressure gradients; Heat transfer</t>
  </si>
  <si>
    <t>Remki B., Abahri K., Tahlaiti M., Belarbi R., Hygrothermal transfer in wood drying under the atmospheric pressure gradient, Int. J. Thermal Sciences, 57, pp. 135-141, (2012); Dos Santos G.H., Mendes N., Heat, air and moisture transfer through hollow porous blocks, Int. J. Heat Mass Transf., 52, pp. 2390-2398, (2009); Funk M., Wakili K.G., Driving potentials of heat and mass transport in porous building materials: A comparison between general linear, thermodynamic and micromechanical derivation schemes, Trans. in Porous Media, 72, 3, pp. 273-294, (2007); Kunzel H.M., Holm A., Zirkelbach D., Karagiozis A.N., Simulation of indoor temperature and humidity conditions including hygrothermal interactions with the building envelope, Solar Energy, 78, 4, pp. 544-561, (2005); Pedersen C.R., Prediction of moisture transfer in building constructions, Building and .Environment, 27, 3, pp. 387-397, (1992); Qin M., Belarbi R., Ait-Mokhtar A., Nilsson L.O., Nonisothermal moisture transport in hygroscopic building materials: Modeling for the determination of moisture transport coefficients, Transport in Porous Media, 72, pp. 255-271, (2008); Steeman H.J., Van Belleghem M., Janssens A., De Paepe M., Coupled simulation of heat and moisture transport in air and porous materials for the assessment of moisture related damage, Building and Environment, 44, 10, pp. 2176-2184, (2009); Younsi R., Kocaefe D., Kocaefe Y., Three-dimensional simulation of heat and moisture transfer in wood, Applied Thermal en Gineering, 26, 11-12, pp. 1274-1285, (2006); Funk M., Wakili K.G., Driving potentials of heat and mass transport in porous building materials: A comparison between general linear, thermodynamic and micromechanical derivation schemes, Transport in Porous Media, 72, 3, pp. 273-294, (2007); Pedersen C.R., Combined Heat and Moisture Transfer in Building Constructions, (1990); Padfield T., The Role of Absorbent Materials in Moderating Changes of Relative Humidity, (1998); Peuhkuri R., Moisture Dynamics in Building Envelopes, (2003); Gertis K., Increased insulation in building - A way to avoid the coming change in climates?, Bauphysik, 13, 5, pp. 132-137, (1991); Dutta K., Principles of Mass Transfer and Separation Processes, (2007); Kunzel H.M., Simulaneous Heat and Moisture Transport in Building Components: One- and Two-Dimensional Calculation using Simple Parameters, (1995); Hens H.S.L.C., The vapor diffusion resistance and air permeance of masonry and roofing systems, Building and Environment, 41, 6, pp. 745-755, (2006); Trabelsi A., Abahrik B.R., Qin M., Assessment of temperature gradient effects on moisture transfer through thermogradient coefficient, Building Simulation, 5, 2, pp. 107-115, (2012); ANNEX41, Subtask 2: Experimental analysis of moisture buffering, IEA, (2007); Hagentoft C.-E., Et al., Assessment method of numerical prediction models for combined heat,air and moisture transfer in building components: Benchmarks for one-dimensional cases, Journal of Thermal Envelope and Building Science, 27, 4, pp. 327-352, (2004); Turner P., Rousset P., Remond R., Perre P., An experimental and theoretical investigation of the thermal treatment of wood (Fagus sylvatica L.) in the range 200-260 °c, International Journal of Heat and Mass Transfer, 53, pp. 715-725, (2010); Steeman H.J., T'Joen C., Van Belleghem M., Janssens A., De Paepe M., Evaluation of the different definitions of the convective mass transfer coefficient for water evaporation into air, International Journal of Heat and Mass Transfer, 52, pp. 3757-3766, (2009); Funk M., Wakili K.G., Driving potentials of heat and mass transport in porous building materials: A comparison between general linear, thermodynamic and micromechanical derivation schemes, Transport in Porous Media, 72, 3, pp. 273-294, (2007); Dantas L.B., Orlande H.R.B., Cotta R.M., Estimation of dimensionless parameters of Luikov's system for heat and mass transfer in capillary porous media, International Journal of Thermal Sciences, 42, pp. 217-227, (2002); Dantas L.B., Helcio R.B., Cotta R.M., Improved lumped-differential formulations and hybrid solution methods for drying in porous media, International Journal of Thermal Sciences, 46, pp. 878-889, (2007); Zueco J., Ochoa L.M.L., Network numerical simulation of coupled heat and moisture transfer in capillary porous media, International Communications in Heat and Mass Transfer, 44, pp. 1-6, (2013)</t>
  </si>
  <si>
    <t>2-s2.0-84964478859</t>
  </si>
  <si>
    <t>Wegerer P.; Bednar T.</t>
  </si>
  <si>
    <t>Hygrothermal performance of wooden beam heads in inside insulated walls considering air flows</t>
  </si>
  <si>
    <t>10.1016/j.egypro.2017.09.710</t>
  </si>
  <si>
    <t>https://www.scopus.com/inward/record.uri?eid=2-s2.0-85033366635&amp;doi=10.1016%2fj.egypro.2017.09.710&amp;partnerID=40&amp;md5=adfbc8f75327865a4fa573d270303b58</t>
  </si>
  <si>
    <t>separated by semicolons; Type your keywords here</t>
  </si>
  <si>
    <t>Ceilings; Condensation; Masonry materials; Moisture; Porous materials; Risk assessment; High moisture contents; Hygrothermal performance; Separated by semicolons; Temperature conditions; Temperature level; Thermal differences; Three-dimensional model; Type your keywords here; Wooden beams and girders</t>
  </si>
  <si>
    <t>Ruisinger U., Risikofaktor Balkenkopf? Holbalkendecken und die Innendämmung, Holzbau Die Neue Quadriga; Wegerer P., Beurteilung von Innendämmsystemen-Langzeitmessung und hyg-rothermische Simulation am Beispiel einer Innendämmung aus Schilfdämmplatten, Diplomarbeit Am Forschungsbereich für Bauphysik und Schallschutz, Institut für Hochbau und Technologie, (2010); Wegerer P., Neusser M., Bednar T., Auswirkungen der Luft(un)dichtheit auf die Feuchtebelastung von Konstruktionen mit Innendämmsystemen, 7th International Symposium on Building and Ductwork Air Tightness in Practice, (2012); Thermal Performance of Buildings. Air Permeability of Building Components and Building Elements, (2000); Wegerer P., Bednar T., Method for measuring the air-tightness of facing formworks, Proceedings of the 10th Nordic Symposium on Building Physics, (2014); Bednar T., Deseyve C., Jung M., Nusser B., Teibinger M., Impact of Airflow on the Risk Assessment of Float Roofs, IAQVEC, Syracuse, New York, (2010); Bednar T., Beurteilung des feuchte- und wärmetechnischen Verhaltens von Bauteilen und Gebäuden-Weiterentwicklung der Mess- und Rechenverfahren, Dissertation-Technische Universität Wien-Institut für Baustofflehre, Bauphysik und Brandschutz, (2000); Zirkelbach D., Kunzel H.M., Schafaczek B., Borsch-Laaks R., Dampfkonvektion wird berechenbar-Instationäres Modell zur Berücksichtigung von konvektivem Feuchteeintrag bei der Simulation von Leichtbaukonstruktionen, 4th International Symposium on Building and Ductwork Air Tightness, (2009); Wood Preservation-Part 1; Viitanen H., Toratti T., Makkonen L., Euhkuri R., Ojanen T., Ruokolainen L., Raisanen J., Towards Modelling of Decay Risk of Wooden Materials; European Jour-nal of Wood and Wood Products, (2010); Kehl D., Feuchtetechnische Bemessung von Holzkonstruktionen Nach WTA-Hygrothermische Auswertung der Anderen Art, Beitrag in Holzbau-die Neue Quadri-ga, (2013); Ch H., Nusser B., Bednar T., Decision Support Method for Flat Roofs using Probabilistic Tools to calculate Life Cycle Costs and Energy Efficiency, International Building Physics Conference, (2012)</t>
  </si>
  <si>
    <t>2-s2.0-85033366635</t>
  </si>
  <si>
    <t>Procedia Engineering</t>
  </si>
  <si>
    <t>Saito H.; Miura H.; Kuwasawa Y.</t>
  </si>
  <si>
    <t>Study on hygrothermal performance related to vapor proofing and air tightness for wooden exterior walls: Requirements for exterior walls with fibrous insulation material</t>
  </si>
  <si>
    <t>688</t>
  </si>
  <si>
    <t>10.3130/aije.78.461</t>
  </si>
  <si>
    <t>https://www.scopus.com/inward/record.uri?eid=2-s2.0-84884167883&amp;doi=10.3130%2faije.78.461&amp;partnerID=40&amp;md5=ac2f5a4de54f03cb392317217a99dff7</t>
  </si>
  <si>
    <t>This study focuses on impact of vapor proofing and airtightness on hygrothermal performance for wooden exterior walls. Partial air and moisture penetration into fibrous insulation layer of the wall were mainly addressed in terms of practical issue for the hygrothermal design. Laboratory experiments using wall assemblies with partial defects for vapor proofing such as outlet were implemented to better understand moisture distribution and air flow within the walls when pressure difference occurs between the indoor and the outdoor rooms. After a developed HAM analysis model was verified by the lab-experiments, long-term simulations were performed to clarify moisture accumulation within the wall under various climate conditions. The simulation results indicated that requirements of both the vapor proofing and the air tightness can be mitigated in mild climate regions. Additionally, the results showed that the partial defect at the top of walls causes the moisture accumulation.</t>
  </si>
  <si>
    <t>Airflow; Exterior wall; Heat and moisture transfer; Laboratory experiment; Vapor proofing</t>
  </si>
  <si>
    <t>Climate models; Computer simulation; Defects; Experiments; Moisture control; Moisture determination; Airflow; Exterior walls; Heat and moisture transfer; Hygrothermal performance; Laboratory experiments; Long term simulation; Moisture accumulation; Moisture distribution; Vapors</t>
  </si>
  <si>
    <t>Ojanen T., Kumaran K., Effect of exfiltration on the hygrothermal behavior of a residential wall assembly,  Canada &amp; Japan Housing R&amp;D Workshop (Ottawa), pp. 39-46, (1996); Desmarais G., Derome D., Fazio P., Mapping of air leakage in exterior wall assemblies, Journal of Thermal Envelope &amp; Building Science, 24, pp. 132-154, (2000); Kumaran K., Lackey J., Normandin N., Van Reenen D., Tariku F., Hygrothermal properties of several building materials, Summary Report from Task 3 of MEWS Project (NRCC-45369), pp. 1-68, (2002)</t>
  </si>
  <si>
    <t>2-s2.0-84884167883</t>
  </si>
  <si>
    <t>Montazeri H.; Blocken B.</t>
  </si>
  <si>
    <t>New generalized expressions for forced convective heat transfer coefficients at building facades and roofs</t>
  </si>
  <si>
    <t>10.1016/j.buildenv.2017.04.012</t>
  </si>
  <si>
    <t>https://www.scopus.com/inward/record.uri?eid=2-s2.0-85018363540&amp;doi=10.1016%2fj.buildenv.2017.04.012&amp;partnerID=40&amp;md5=3a35bacab0913d1ff08a6333e65a9bdc</t>
  </si>
  <si>
    <t>Previous research indicated that the surface-averaged forced convective heat transfer coefficient (CHTC) at a windward building facade can vary substantially as a function of building width and height. However, existing CHTC expressions generally do not consider the building dimensions as parameters and are therefore strictly only applicable for the building geometry for which they were derived. Most CHTC expressions also categorize facades only as either windward or leeward. This indicates the need for new and more generally applicable CHTC expressions. This paper presents new generalized expressions for surface-averaged forced CHTC at building facades and roofs that contain the reference wind speed, the width and the height of the windward building facade as parameters. These expressions are derived from CFD simulations of wind flow and forced convective heat transfer for 81 different isolated buildings. The 3D Reynolds-averaged Navier-Stokes equations are solved with a combination of the high-Re number realizable k-ε model and the low-Re number Wolfshtein model. First, a validation study is performed with wind-tunnel measurements of surface temperature for a reduced-scale cubic model. Next, the actual simulations are performed on a high-resolution grid with a minimum near-wall cell size of 400 μm to resolve the entire boundary layer, including the viscous sublayer and the buffer layer, which dominate the convective surface resistance. The new CHTC expressions are analytical formulae (trivariate polynomials) that can easily be implemented in Building Energy Simulation (BES) and Building Envelope Heat-Air-Moisture (BE-HAM) transfer programs. The accuracy of the expressions is confirmed by in-sample and out-of-sample evaluations. © 2017 The Authors</t>
  </si>
  <si>
    <t>Building aerodynamics; Building Energy Simulation (BES); Computational Fluid Dynamics (CFD); Convective heat transfer coefficient; Forced convection</t>
  </si>
  <si>
    <t>Atmospheric temperature; Boundary layer flow; Boundary layers; Buildings; Computational fluid dynamics; Drag; Facades; Fluid dynamics; Forced convection; Heat transfer; Heat transfer coefficients; Navier Stokes equations; Roofs; Wind; Wind effects; Wind tunnels; Building aerodynamics; Building energy simulations; Convective heat transfer Coefficient; Forced convective heat transfer; High-resolution grids; Reynolds Averaged Navier-Stokes Equations; Surface temperatures; Wind tunnel measurements; aerodynamics; building; computational fluid dynamics; convection; heat transfer; Navier-Stokes equations; Reynolds number; roof; wind forcing; Heat convection</t>
  </si>
  <si>
    <t>Hunt J.C.R., Abell C.J., Peterka J.A., Woo H., Kinematical studies of the flows around free or surface-mounted obstacles; applying topology to flow visualization, J. Fluid Mech., 86, pp. 179-200, (1978); Blocken B., Stathopoulos T., Carmeliet J., Hensen J.L., Application of computational fluid dynamics in building performance simulation for the outdoor environment: an overview, J. Build. Perform. Simul., 4, pp. 157-184, (2011); Palyvos J.A., A survey of wind convection coefficient correlations for building envelope energy systems’ modeling, Appl. Therm. Eng., 28, pp. 801-808, (2008); Mirsadeghi M., Costola D., Blocken B., Hensen J.L.M., Review of external convective heat transfer coefficient models in building energy simulation programs: implementation and uncertainty, Appl. Therm. Eng., 56, pp. 134-151, (2013); Kunzel H.M., Kiessl K., Calculation of heat and moisture transfer in exposed building components, Int. J. Heat. Mass Transf., 40, pp. 159-167, (1996); Janssen H., Blocken B., Roels S., Carmeliet J., Wind-driven rain as a boundary condition for HAM simulations: analysis of simplified modelling approaches, Build. Environ., 42, pp. 1555-1567, (2007); Janssen H., Blocken B., Carmeliet J., Conservative modelling of the moisture and heat transfer in building components under atmospheric excitation, Int. J. Heat. Mass Transf., 50, pp. 1128-1140, (2007); Blocken B., Roels S., Carmeliet J., A combined CFD–HAM approach for wind-driven rain on building facades, J. Wind Eng. Ind. Aerodyn., 95, pp. 585-607, (2007); Abuku M., Blocken B., Roels S., Moisture response of building facades to wind-driven rain: field measurements compared with numerical simulations, J. Wind Eng. Ind. Aerodyn., 97, pp. 197-207, (2009); Ito N., Kimura K., Oka J., Field experiment study on the convective heat transfer coefficient on exterior surface of a building, ASHRAE Trans., 78, pp. 184-192, (1972); Sharples S., Full-scale measurements of convective energy losses from exterior building surfaces, Build. Environ., 19, pp. 31-39, (1984); Loveday D.L., Taki A.H., Convective heat transfer coefficients at a plane surface on a full-scale building facade, Int. J. Heat. Mass Transf., 39, pp. 1729-1742, (1996); Liu Y., Harris D.J., Full-scale measurements of convective coefficient on external surface of a low-rise building in sheltered conditions, Build. Environ., 42, pp. 2718-2736, (2007); Hagishima A., Tanimoto J., Field measurements for estimating the convective heat transfer coefficient at building surfaces, Build. Environ., 38, pp. 873-881, (2003); Jurges W., Der Wärmeübergang an einer ebenen Wand, Druck und Verlag von R, (1924); Sparrow E.M., Ramsey J.W., Mass E.A., Effect of finite width on heat transfer and fluid flow about an inclined rectangular plate, J. Heat. Transf., 101, pp. 199-204, (1979); Chyu M.K., Natarajan V., Local heat/mass transfer distributions on the surface of a wall-mounted cube, Trans. ASME J. Heat. Transf., 113, pp. 851-857, (1991); Natarajan V., Chyu M.K., Effect of flow angle-of-attack on the local heat/mass transfer from a wall-mounted cube, Trans. ASME J. Heat. Transf., 116, pp. 552-560, (1994); Meinders E.R., Hanjalic K., Martinuzzi R.J., Experimental study of the local convection heat transfer from a wall-mounted cube in turbulent channel flow, Trans. ASME J. Heat. Transf., 121, pp. 564-573, (1999); Nakamura H., Igarashi T., Tsutsui T., Local heat transfer around a wall-mounted cube in the turbulent boundary layer, Int. J. Heat. Mass Transf., 44, pp. 3385-3395, (2001); Emmel M.G., Abadie M.O., Mendes N., New external convective heat transfer coefficient correlations for isolated low-rise buildings, Energy Build., 39, pp. 335-342, (2007); Blocken B., Defraeye T., Derome D., Carmeliet J., High-resolution CFD simulations for forced convective heat transfer coefficients at the facade of a low-rise building, Build. Environ., 44, pp. 2396-2412, (2009); Defraeye T., Blocken B., Carmeliet J., CFD analysis of convective heat transfer at the surfaces of a cube immersed in a turbulent boundary layer, Int. J. Heat. Mass Transf., 53, pp. 297-308, (2010); Karava P., Jubayer C.M., Savory E., Numerical modelling of forced convective heat transfer from the inclined windward roof of an isolated low-rise building with application to photovoltaic/thermal systems, Appl. Therm. Eng., 31, pp. 1950-1963, (2011); Allegrini J., Dorer V., Carmeliet J., Analysis of convective heat transfer at building façades in street canyons and its influence on the predictions of space cooling demand in buildings, J. Wind Eng. Ind. Aerodyn., 104, pp. 464-473, (2012); Liu J., Srebric J., Yu N., Numerical simulation of convective heat transfer coefficients at the external surfaces of building arrays immersed in a turbulent boundary layer, Int. J. Heat. Mass Transf., 61, pp. 209-225, (2013); Liu J., Heidarinejad M., Gracik S., Srebric J., The impact of exterior surface convective heat transfer coefficients on the building energy consumption in urban neighborhoods with different plan area densities, Energy Build., 86, pp. 449-463, (2015); Montazeri H., Blocken B., Derome D., Carmeliet J., Hensen J.L.M., CFD analysis of forced convective heat transfer coefficients at windward building facades: influence of building geometry, J. Wind Eng. Ind. Aerodyn., 146, pp. 102-116, (2015); Ohlsson K.E.A., Ostin R., Olofsson T., Accurate and robust measurement of the external convective heat transfer coefficient based on error analysis, Energy Build., 117, pp. 83-90, (2016); Ohlsson K.E.A., Ostin R., Grundberg S., Olofsson T., Dynamic model for measurement of convective heat transfer coefficient at external building surfaces, J. Build. Eng., 7, pp. 239-245, (2016); Casey M., Wintergerste T., Best Practice Guidelines: ERCOFTAC Special Interest Group on“ Quality and Trust in Industrial CFD,” ERCOFTAC, (2000); Franke J., Hirsch C., Jensen A.G., Krus H.W., Schatzmann M., Westbury P.S., Miles S.D., Wisse J.A., Wright N.G., Recommendations on the use of CFD in wind engineering, Proc. Int. Conf. Urban Wind Eng. Build. Aerodyn. COST Action C14 Impact Wind Storm City Life Built Environ, (2004); Franke J., Hellsten A., Schlunzen H., Carissimo B., Best practice guideline for the CFD simulation of flows in the urban environment, (2007); Tominaga Y., Mochida A., Yoshie R., Kataoka H., Nozu T., Yoshikawa M., Shirasawa T., AIJ guidelines for practical applications of CFD to pedestrian wind environment around buildings, J. Wind Eng. Ind. Aerodyn., 96, pp. 1749-1761, (2008); Franke J., Hellsten A., Schlunzen H., Carissimo B., The COST 732 Best Practice Guideline for CFD simulation of flows in the urban environment: a summary, Int. J. Environ. Pollut., 44, pp. 419-427, (2011); Blocken B., Computational Fluid Dynamics for urban physics: importance, scales, possibilities, limitations and ten tips and tricks towards accurate and reliable simulations, Build. Environ., 91, pp. 219-245, (2015); Leschziner M.A., Computational modelling of complex turbulent flow - expectations, reality and prospects, J. Wind Eng. Ind. Aerodyn., 46, pp. 37-51, (1993); Stathopoulos T., Computational wind engineering: past achievements and future challenges, J. Wind Eng. Ind. Aerodyn., 67, pp. 509-532, (1997); Murakami S., Current status and future trends in computational wind engineering, J. Wind Eng. Ind. Aerodyn., 67-68, pp. 3-34, (1997); Murakami S., Overview of turbulence models applied in CWE–1997, J. Wind Eng. Ind. Aerodyn., 74-76, pp. 1-24, (1998); Baker C.J., Wind engineering—past, present and future, J. Wind Eng. Ind. Aerodyn., 95, pp. 843-870, (2007); Ramponi R., Blocken B., CFD simulation of cross-ventilation for a generic isolated building: impact of computational parameters, Build. Environ., 53, pp. 34-48, (2012); Tominaga Y., Stathopoulos T., CFD simulation of near-field pollutant dispersion in the urban environment: a review of current modeling techniques, Atmos. Environ., 79, pp. 716-730, (2013); Sabatino S.D., Buccolieri R., Salizzoni P., Recent advancements in numerical modelling of flow and dispersion in urban areas: a short review, Int. J. Environ. Pollut., 52, pp. 172-191, (2013); Blocken B., 50 years of computational wind engineering: past, present and future, J. Wind Eng. Ind. Aerodyn., 129, pp. 69-102, (2014); Meroney R.N., Ten questions concerning hybrid computational/physical model simulation of wind flow in the built environment, Build. Environ., 96, pp. 12-21, (2016); Tominaga Y., Stathopoulos T., Ten questions concerning modeling of near-field pollutant dispersion in the built environment, Build. Environ., 105, pp. 390-402, (2016); Ferziger J.H., Approaches to turbulent flow computation: applications to flow over obstacles, J. Wind Eng. Ind. Aerodyn., 35, pp. 1-19, (1990); Leschziner M.A., Modelling engineering flows with Reynolds stress turbulence closure, J. Wind Eng. Ind. Aerodyn., 35, pp. 21-47, (1990); Schlichting H., Boundary-layer Theory, (1968); Wilcox D.C., Turbulence Modeling for CFD, (1998); Defraeye T., Blocken B., Carmeliet J., An adjusted temperature wall function for turbulent forced convective heat transfer for bluff bodies in the atmospheric boundary layer, Build. Environ., 46, pp. 2130-2141, (2011); Defraeye T., Blocken B., Carmeliet J., CFD simulation of heat transfer at surfaces of bluff bodies in turbulent boundary layers: evaluation of a forced-convective temperature wall function for mixed convection, J. Wind Eng. Ind. Aerodyn., 104-106, pp. 439-446, (2012); Allegrini J., Dorer V., Defraeye T., Carmeliet J., An adaptive temperature wall function for mixed convective flows at exterior surfaces of buildings in street canyons, Build. Environ., 49, pp. 55-66, (2012); Crawley D.B., Hand J.W., Kummert M., Griffith B.T., Contrasting the capabilities of building energy performance simulation programs, Build. Environ., 43, pp. 661-673, (2008); Hens H.S., Heat, Air and Moisture Transfer in Insulated Envelope Parts: Task 1, Modelling, Final Report, (1996); Hens H.S., Building Physics-heat, Air and Moisture: Fundamentals and Engineering Methods with Examplesand Exercises, (2012); Hall C., Hoff W.D., Water Transport in Brick, Stone and Concrete, (2011); Walton G.N., Passive solar extension of the building loads analysis and system thermodynamics (BLAST) program: Technical Report, (1981); McClellan T.M., Pedersen C.O., Investigation of outside Heat Balance Models for Use in a Heat Balance Cooling Load Calculation Procedure, (1997); Blocken B., Carmeliet J., The influence of the wind-blocking effect by a building on its wind-driven rain exposure, J. Wind Eng. Ind. Aerodyn., 94, pp. 101-127, (2006); Blocken B., Moonen P., Stathopoulos T., Carmeliet J., Numerical study on the existence of the venturi effect in passages between perpendicular buildings, J. Eng. Mech., 134, pp. 1021-1028, (2008); Blocken B., Stathopoulos T., Carmeliet J., Wind environmental conditions in passages between two long narrow perpendicular buildings, J. Aerosp. Eng., 21, pp. 280-287, (2008); Blocken B., Dezso G., van Beeck J., Carmeliet J., Comparison of calculation models for wind-driven rain deposition on building facades, Atmos. Environ., 44, pp. 1714-1725, (2010); Meinders E.R., Experimental Study of Heat Transfer in Turbulent Flows over Wall Mounted Cubes, (1998); Blocken B., Carmeliet J., Stathopoulos T., CFD evaluation of wind speed conditions in passages between parallel buildings—effect of wall-function roughness modifications for the atmospheric boundary layer flow, J. Wind Eng. Ind. Aerodyn., 95, pp. 941-962, (2007); Blocken B., Stathopoulos T., Carmeliet J., CFD simulation of the atmospheric boundary layer: wall function problems, Atmos. Environ., 41, pp. 238-252, (2007); van Hooff T., Blocken B., Coupled urban wind flow and indoor natural ventilation modelling on a high-resolution grid: a case study for the Amsterdam ArenA stadium, Environ. Model. Softw, 25, pp. 51-65, (2010); Inc A., Ansys Fluent 12.0 – Theory Guide, (2009); Shih T.-H., Liou W.W., Shabbir A., Yang Z., Zhu J., A new k-ε eddy viscosity model for high reynolds number turbulent flows, Comput. Fluids, 24, pp. 227-238, (1995); Wolfshtein M., The velocity and temperature distribution in one-dimensional flow with turbulence augmentation and pressure gradient, Int. J. Heat. Mass Transf., 12, pp. 301-318, (1969); Murakami S., Comparison of various turbulence models applied to a bluff body, J. Wind Eng. Ind. Aerodyn., 46, pp. 21-36, (1993); Rodi W., Comparison of LES and RANS calculations of the flow around bluff bodies, J. Wind Eng. Ind. Aerodyn., 69, pp. 55-75, (1997); Tominaga Y., Mochida A., Murakami S., Sawaki S., Comparison of various revised k– ε models and LES applied to flow around a high-rise building model with 1: 1: 2 shape placed within the surface boundary layer, J. Wind Eng. Ind. Aerodyn., 96, pp. 389-411, (2008); Wieringa J., Updating the Davenport roughness classification, J. Wind Eng. Ind. Aerodyn., 41, pp. 357-368, (1992); Iousef S., Montazeri H., Blocken B.J.E., van Wesemael P.J.V., On the use of non-conformal grids for economic LES of wind flow and convective heat transfer for a wall-mounted cube, Build. Environ., 119, pp. 44-61, (2017)</t>
  </si>
  <si>
    <t>2-s2.0-85018363540</t>
  </si>
  <si>
    <t>Schwaller J.; Wegerer P.; Bednar T.</t>
  </si>
  <si>
    <t>Modification of the Glaser method using solar radiation and convective moisture penetration; [Modifikation des Glaser-Verfahrens zur Berücksichtigung solarer Strahlung und konvektiver Feuchteeinträge]</t>
  </si>
  <si>
    <t>10.1002/bapi.201610008</t>
  </si>
  <si>
    <t>https://www.scopus.com/inward/record.uri?eid=2-s2.0-84962045568&amp;doi=10.1002%2fbapi.201610008&amp;partnerID=40&amp;md5=b32645fb0fa2e0d66252af861dab9c17</t>
  </si>
  <si>
    <t>The Glaser method was considered the most significant method for proof of moisture performance in building physics during the last decades. However, simulation methods and the concerted research of certain building materials' moisture behaviour as well as countless documented cases of damage show that the Glaser method's assumptions often lead to false results. By modifying the Glaser method, taking into account the solar irradiation und convective damp penetrations into the construction, a practicable, simplified hygrothermal proof can be yielded for certain constructions yet. Using three exemplary constructions it is shown that applying the modified method in comparison with hygrothermal simulations provides safe results in some cases, incorrect plannings in others. Evaluation of the respective results is therefore of the utmost importance and highlights the limits of the simplified proof's practicability. © 2016 Ernst &amp; Sohn Verlag für Architektur und technische Wissenschaften GmbH &amp; Co. KG, Berlin.</t>
  </si>
  <si>
    <t>Condensation moisture; Evalution criteria; Feuchte -Moisture; Glaser method; Hygrothermal simulation; Leakage; Mould index; Solar irradiation; Vapour barrier</t>
  </si>
  <si>
    <t>Kunzel H.M., Sedlbauer K., Neufassung von DIN 4108-3 zur rechnerischen Feuchteschutzbeurteilung., Bauphysik, 37, 2, pp. 132-136, (2015); (2014); Borsch-Laaks R., Zirkelbach D., Kunzel H.M., Schafaczek B., (2009); Nusser B., Bednar T., Teibinger M., Proposal for a modified Glaser-Method for the risk assessment of flat timber roofs, (2011); Wegerer P., Neusser M., Bednar T., (2012); (2012); (2000); (2014); Kunzel H.M., Zirkelbach D., Schafaczek B., Berücksichtigung der Wasserdampfkonvektion bei der Feuchteschutzbeurteilung von Holzkonstruktionen., wskb, 55, 63, pp. 25-33, (2010); Nusser B., Flachgeneigte hölzerne Dachkonstruktionen. Systemanalysen und neue Ansätze zur Planung hygrisch robuster flachgeneigter hölzerner Dachkonstruktionen unter Beachtung konvektiver Feuchteeinträge und temporärer Beschattungssituationen. Dissertation, (2012); Nusser B., Teibinger M., Bednar T., Messtechnische Analyse flachgeneigter hölzerner Dachkonstruktionen mit Sparrenvolldämmung - Teil 1: Nicht belüftete Nacktdächer mit Folienabdichtung., Bauphysik, 32, 3, pp. 132-143, (2010); Nusser B., Teibinger M., Bednar T., Messtechnische Analyse flachgeneigter hölzerner Dachkonstruktionen mit Sparrenvolldämmung - Teil 2: Nicht belüftete, extensiv begrünte Dächer mit Zellulose- und Mineralwolledämmung., Bauphysik, 32, 4, pp. 219-225, (2010); Nusser B., Teibinger M., Bednar T., Messtechnische Analyse flachgeneigter hölzerner Dachkonstruktionen mit Sparrenvolldämmung - Teil 3: Hinterlüftete und nicht hinterlüftete Metalldächer., Bauphysik, 32, 5, pp. 288-295, (2010); Hall M., Hauser G., In situ Quantifizierung von Leckagen bei Gebäuden in Holzbauart, (2003); Zirkelbach D., Kunzel H.M., Et al., Dampfkonvektion wird berechenbar - Instationäres Modell zur Berücksichtigung von konvektivem Feuchteeintrag bei der Simulation von Leichtbaukonstruktionen, (2009); Hagentoft C.-E., (2001); Hens H.; Hens H., IEA Annex 24 - Heat, Air and Moisture Transport Through New and Retrofitted Insulated Envelope Parts, 1, (1996); (2013); (2008); Teibinger M., (2015); Teibinger M., Nusser B., (2010); Bednar T., (2000); Bednar T., Deseyve C., Jung M., Nusser B.T., (2010); Wegerer P., (2010); Ojanen T., Peuhkuri R., Viitanen H., Lahdesmaki K., Vinha J., Salminen K., (2011)</t>
  </si>
  <si>
    <t>2-s2.0-84962045568</t>
  </si>
  <si>
    <t>Essah E.A.; Sanders C.H.; Baker P.H.; Kumaraperumal A.N.</t>
  </si>
  <si>
    <t>Effects of varying ventilation, ceiling airtightness and underlay in a cold pitched roof - modelling and simulation</t>
  </si>
  <si>
    <t>https://www.scopus.com/inward/record.uri?eid=2-s2.0-84872659076&amp;partnerID=40&amp;md5=37f4caf42ad172c14485192637c6e764</t>
  </si>
  <si>
    <t>It is envisaged that reducing ventilation gaps in a cold pitched roof will significantly improve the insulation performance of the roof and consequently reduce the energy consumption of the house. This study is a numerical investigation of the energy losses from a house by conduction and convection using a HAM software package on a Matlab platform with a Simulink simulation tool. To visualize these effects, eaves gap sizes and ceiling airtightness were varied. In addition, three different roof underlay of varying vapour resistances were compared to access their influence, if any, on energy conservation and condensation formation. The results showed that significant gains are made if the eaves gap is less than 3mm and the ceiling is more airtight. However, the effect of the underlay is of less significance, in terms of energy conservation, compared to ventilation effects and ceiling tightness.</t>
  </si>
  <si>
    <t>Airtightness; Cold pitched roofs; Condensation; Energy; Roof underlay</t>
  </si>
  <si>
    <t>Ceilings; Condensation; Energy conservation; Energy dissipation; Energy utilization; Exhibitions; Ventilation; Airtightness; Conduction and convections; Energy; Gap size; Insulation performance; MATLAB platform; Modelling and simulations; Numerical investigations; Pitched roofs; Simulink simulations; Ventilation effects; Roofs</t>
  </si>
  <si>
    <t>Hygrothermal Performance of Building Components and Building Elements, (2007); Essah E.A., Sanders C.H., Baker P., Kalagasidis A.S., Condensation and moisture transport in cold roofs: Effects of roof underlay, Journal of Building Research &amp; Information, 37, 2, pp. 117-128, (2009); Hagentoft C.E., Introduction to Building Physics, pp. 1-5, (2001); Sanders C.H., Air movement in houses: A new approach, Building Research and Practice, CI/SFB, 81, 57, pp. 160-175, (1982); Sanders C.H., Haig J., Heat, Air and Moisture Transport Through Cold Pitched Roofs, pp. 1-13, (2004)</t>
  </si>
  <si>
    <t>2-s2.0-84872659076</t>
  </si>
  <si>
    <t>Wang C.; Gao G.; Zhao L.; Schuetz W.; Xu Y.</t>
  </si>
  <si>
    <t>Accurate numerical simulation of turbulent natural convection in an enclosed tall cavity</t>
  </si>
  <si>
    <t>10.1016/j.proeng.2017.10.016</t>
  </si>
  <si>
    <t>https://www.scopus.com/inward/record.uri?eid=2-s2.0-85033371663&amp;doi=10.1016%2fj.proeng.2017.10.016&amp;partnerID=40&amp;md5=fc8cd07b61a2ea819f253b81dd8bf949</t>
  </si>
  <si>
    <t>Building simulation tools play an important role in the field of building physics. The performance of these tools relies on the understanding of related physic phenomenon and needs to be ensured by the validation. Nowadays, numbers of building simulation tools have been developed. However, most of these tools lack internationally accepted experimental data for validation. As for the investigation of combined heat, air and moisture (HAM) transfer process, it is limited by the fact that it is difficult to measure air and moisture fluxes and moisture transport potentials, even under laboratory conditions. In this paper, the author established a numerical laboratory to overcome the difficulty of measuring air and mass flux within enclosed cavity. The performance of new developed simulation approach in predicting convective flow characteristics of dry air has been validated. Then convective flow characteristics of moist air within enclosed cavity have been investigated. © 2017 The Authors. Published by Elsevier Ltd.</t>
  </si>
  <si>
    <t>accurate simulation; enclosed cavity; moist air; natural convection</t>
  </si>
  <si>
    <t>Heat convection; Moisture; Natural convection; accurate simulation; Building simulation; enclosed cavity; Laboratory conditions; Moist air; Moisture transport; Simulation approach; Turbulent natural convection; Air conditioning</t>
  </si>
  <si>
    <t>ASHRAE Handbook: Fundamentals. American Society of Heating, Refrigeration and Air-Conditioning Engineers, (2009); Betts P., Bokhari I., Experiments on turbulent natural convection in an enclosed tall cavity, International Journal of Heat and Fluid Flow, Elsevier, 21, pp. 675-683, (2000); Dafa'Alla A.A., Turbulent Natural Convection in A Tall Closed Air Cavity, (1988); Hanjalic K., One-point closure models for buoyancy-driven turbulent flows, Annual Review of Fluid Mechanics, Annual Reviews 4139 El Camino Way, PO Box 10139, Palo Alto, CA 94303-0139, USA, 34, pp. 321-347, (2002); Tsilingiris P.T., Thermophysical and transport properties of humid air at temperature range between 0 and 100°C, Energy Conversion and Management, 49, pp. 1098-1110, (2008); Wright J.L., A correlation to quantify convective heat transfer between vertical window glazings, ASHRAE Transactions, 102, 1, (1996); VDI Heat Atlas, (2010); Aksouh A., Mataoui A., Seghouani N., Haddad Z., Rayleigh number effect on the turbulent heat transfer within a parallelepiped cavity, Thermal Science, 15, pp. 341-356, (2011)</t>
  </si>
  <si>
    <t>2-s2.0-85033371663</t>
  </si>
  <si>
    <t>Steskens P.; Janssen H.; Rode C.</t>
  </si>
  <si>
    <t>Modeling local hygrothermal interaction: Local surface transfer coefficients</t>
  </si>
  <si>
    <t>https://www.scopus.com/inward/record.uri?eid=2-s2.0-84872664378&amp;partnerID=40&amp;md5=3e6efafd58d5fc9208a605182041ac10</t>
  </si>
  <si>
    <t>Current models to predict heat, air and moisture (HAM) conditions in building components assume uniform boundary conditions, both for the temperature and relative humidity of the air in an indoor space as well as for the heat and moisture surface transfer coefficients. In order to obtain a reliable prediction of the HAM conditions in a building component, an accurate description of the indoor boundary conditions is required. This paper presents the modelling of the local indoor environmental conditions, using a (sub)zonal airflow model, focussing on the prediction of the local interior surface heat and moisture transfer coefficients. The research showed that the developed model gives good agreement with the local convective surface transfer coefficients predicted from CFD. The main advantage of the presented (sub)zonal airflow model is that the computational effort is relatively small, while the predictions of the local surface transfer coefficients are relatively accurate.</t>
  </si>
  <si>
    <t>(sub)zonal airflow model; Surface transfer coefficients</t>
  </si>
  <si>
    <t>Boundary conditions; Building components; Exhibitions; Moisture control; Airflow model; Computational effort; Current models; Developed model; Environmental conditions; Heat and moisture transfer; Hygrothermal interactions; Indoor space; Interior surfaces; Local surfaces; Surface-transfer coefficients; Temperature and relative humidity; Forecasting</t>
  </si>
  <si>
    <t>Alamdari F., Hammond G.P., Improved Data Correlations for Buoyancy-Driven Convection in Rooms, Building Services Engineering Research and Technology, 4, 3, pp. 106-112, (1983); Beausoleil-Morrison I., The Adaptive Coupling of Heat and Air Flow Modeling Within Dynamic Whole-building Simulation, (2000); Inard C., Bouia H., Dalicieux P., Prediction of air temperature distribution in buildings with a zonal model, Energy and Buildings, 24, pp. 125-132, (1996); Mendonca K.C., Modelisation Thermo-hydro-aeraulique des Locaux Climatises Selon L'approche Zonale, (2004); Mortensen L.H., Woloszyn M., Rode C., Peuhkuri R., Investigation of Microclimate by CFD Modeling of Moisture Interactions between Air and Constructions, Journal of Building Physics, 30, 4, pp. 279-296, (2007); Schlichting H., Gersten K., Boundary Layer Theory, (2003); Steeman H.J., Modelling Local Hygrothermal Interaction between Airflow and Porous Materials for Building Applications, (2008); Stewart J., Ren Z., COwZ - A subzonal indoor airflow, temperature and contaminant dispersion model, Building and Environment, 41, pp. 1631-1648, (2006); Turner B.L., Flake L.D., The experimental measurement of natural convection heat transfer in rectangular enclosures, ASME Transactions, Journal of Heat Transfer, 102, pp. 236-241, (1980); Woloszyn M., Rode C., Tools for performance simulation of heat, air and moisture conditions of whole buildings, Journal of Building Simulation, 1, pp. 5-24, (2008)</t>
  </si>
  <si>
    <t>2-s2.0-84872664378</t>
  </si>
  <si>
    <t>Van Belleghem M.; De Backer L.; Janssens A.; De Paepe M.</t>
  </si>
  <si>
    <t>Conjugate modelling of convective drying phenomena in porous building materials</t>
  </si>
  <si>
    <t>395</t>
  </si>
  <si>
    <t>012142</t>
  </si>
  <si>
    <t>10.1088/1742-6596/395/1/012142</t>
  </si>
  <si>
    <t>https://www.scopus.com/inward/record.uri?eid=2-s2.0-84875020110&amp;doi=10.1088%2f1742-6596%2f395%2f1%2f012142&amp;partnerID=40&amp;md5=2dbb5f134aaa33889c652660f4247d1b</t>
  </si>
  <si>
    <t>Moisture storage and the associated heat and moisture transport in buildings have a large impact on the building envelope durability, the energy consumption in buildings and the indoor climate. Nowadays HAM (Heat, Air and Moisture transport) models are widely used to simulate and predict the effect of these transport phenomena in detail. Recently these HAM models are being coupled to CFD (Computational Fluid Dynamics) to study the moisture exchange between air and porous materials on a local scale (microclimates). The objective of this research is to develop such a model to study drying phenomena. In this paper the emphasis lies on the modelling of convective drying of porous building materials. An important aspect for the correct modelling of convective drying is the way the air boundary is implemented. A short literature review reveals that different modelling approaches can be used. This paper gives a short overview of the state of the art in conjugate heat and mass transport modelling for convective drying. In this review shortcomings of currently applied modelling approaches are highlighted. Finally the newly developed model is used to simulate the convective drying of a sample of ceramic brick. These simulations were then compared with measurements from literature. A good agreement was found. © Published under licence by IOP Publishing Ltd.</t>
  </si>
  <si>
    <t>Air; Building materials; Buildings; Computational fluid dynamics; Drying; Energy utilization; Moisture; Porous materials; Building envelopes; CFD (computational fluid dynamics); Heat and mass transports; Heat and moisture transports; Literature reviews; Moisture transport; Porous building material; Transport phenomena; Heat convection</t>
  </si>
  <si>
    <t>Defraeye T., Blocken B., Derome D., Nicolai B., Carmeliet J., Convective heat and mass transfer modelling at air-porous material interfaces: Overview of existing methods and relevance, Chem. Eng. Sci., 74, pp. 49-58, (2012); McMinn W.A.M., Magee T.R.A., Principles, Methods and Applications of the Convective Drying of Foodstuffs, Food Bioprod. Process., 77, 3, pp. 175-193, (1999); Barati E., Esfahani J.A., Mathematical modeling of convective drying: Lumped temperature and spatially distributed moisture in slab, Energy, 36, 4, pp. 2294-2301, (2011); Landman K.A., Pel L., Kaasschieter E.F., Analytic modelling of drying of porous materials, Math. Eng. Ind., 8, 2, pp. 89-122, (2001); Crank J., The Mathematics of Diffusion, (1975); Milly P.C.D., Moisture and heat transport in hysteretic, inhomogeneous porous media: A matrix head-based formulation and a numerical model, Water Resour. Res., 18, 3, pp. 489-498, (1982); Wang N., Brennan J.G., A mathematical model of simultaneous heat and moisture transfer during drying of potato, J. Food Eng., 24, 1, pp. 47-60, (1995); Hagentoft C.E., Et al., Assessment Method of Numerical Prediction Models for Combined Heat, Air and Moisture Transfer in Building Components: Benchmarks for One-dimensional Cases, J. Build. Phys., 27, 4, pp. 327-352, (2004); Hussain M.M., Dincer I., Two-dimensional heat and moisture transfer analysis of a cylindrical moist object subjected to drying: A finite-difference approach, Int. J. Heat Mass Tran., 46, 21, pp. 4033-4039, (2003); Le Page J.F., Chevarin C., Kondjoyan A., Daudin J.D., Mirade P.S., Development of an approximate empirical-CFD model estimating coupled heat and water transfers of stacked food products placed in airflow, J. Food Eng., 92, 2, pp. 208-216, (2009); Shokouhmand H., Abdollahi V., Hosseini S., Vahidkhah K., Performance Optimization of a Brick Dryer Using Porous Simulation Approach, Dry. Technol, 29, 3, pp. 360-370, (2011); Masmoudi W., Prat M., Heat and Mass-Transfer between a Porous-Medium and a Parallel External Flow-Application to Drying of Capillary Porous Materials, Int. J. Heat Mass Tran., 34, 8, pp. 1975-1989, (1991); Amir H., Le Palec G., Daguenet M., Séchage superficiel d'un matériau poreux humide par convection forcée d'air chaud: Couplage entre les équations de transfert dans le matériau et celles de la couche limite, Int. J. Heat Mass Tran., 30, 6, pp. 1149-1158, (1987); Dolinskiy A.A., Ash D., Davydenko B.V., Conjugate heat and mass transfer in continuous processes of convective drying, Int. J. Heat Mass Tran., 34, 11, pp. 2883-2889, (1991); Defraeye T., Blocken B., Carmeliet J., Analysis of convective heat and mass transfer coefficients for convective drying of porous flat plate by conjugate modeling, Int. J. Heat Mass Tran., 55, pp. 112-124, (2012); Van Belleghem M., De Backer L., Janssens A., De Paepe M., Development of a coupled CFD-HAM model including liquid moisture transport to study moisture transport in building materials, 5th Int. Building Physics Conf. IBPC2012, (2012); Defraeye T., Convective Heat and Mass Transfer at Exterior Building Surfaces, (2011); Dean R.B., Reynolds Number Dependence of Skin Friction and Other Bulk Flow Variables in Two-Dimensional Rectangular Duct Flow, J. Fluid. Eng-T. ASME, 100, 2, pp. 215-223, (1978)</t>
  </si>
  <si>
    <t>2-s2.0-84875020110</t>
  </si>
  <si>
    <t>Matsuoka D.; Hokoi S.; Saito H.</t>
  </si>
  <si>
    <t>Hygrothermal conditions in attic spaces of wooden houses with eave ventilation during winter in a mild climate region in Japan</t>
  </si>
  <si>
    <t>STP 1590</t>
  </si>
  <si>
    <t>10.1520/stp159020150026</t>
  </si>
  <si>
    <t>https://www.scopus.com/inward/record.uri?eid=2-s2.0-84962407644&amp;doi=10.1520%2fstp159020150026&amp;partnerID=40&amp;md5=aa8a5dba0cf699e0f4a68aac06710b99</t>
  </si>
  <si>
    <t>A mock-up study was conducted with a one-story test house (3.64 m by 3.64 m) with eave ventilation in a suburb of Tokyo to examine the hygrothermal conditions in an attic space. A series of measurements were conducted to clarify the effects that the vent opening area and vented wall cavity had on the hygrothermal conditions. Additionally, a hygrothermal simulation was conducted based on the results of the experiment to estimate the amount of airflow within the attic space. The main findings from the experiment and simulation results are as follows: 1. Considering that 20 % of the upward airflow through the vented wall cavity does not contribute to ventilating the attic space, the eave space should be incorporated into the hygrothermal model in order to predict the proper size of an attic ventilation opening. 2. The airflow (advection) between the insulation mats to the attic space was found to be 2-20 m3/h (equivalent to 0.2-2.0 times/h air exchange rate in the attic space). The average vapor flow by advection was approximately 2.5 g/m2h at night (0:00 to 6:00), and the average attic absolute humidity increased by 0.2 g/kgDA during this period. 3. The amount of moisture absorbed and/or desorbed by the wooden materials in a daily cycle is almost the same as that absorbed by the northern and southern sheathing boards, and thus had a significant effect. It should be considered when calculating the temperature and humidity in an attic space. Copyright © 2015 by ASTM International.</t>
  </si>
  <si>
    <t>Attic space; Eave ventilation; Hygrothermal calculation; Wooden house</t>
  </si>
  <si>
    <t>Advection; Building materials; Houses; Roofs; Absolute humidity; Air exchange rates; Attic spaces; Hygro-thermal conditions; Hygrothermal; Hygrothermal simulation; Temperature and humidities; Wooden house; Ventilation</t>
  </si>
  <si>
    <t>Construction Specifications for Wooden House, (2013); Rowley F.B., Algren A.B., Lund S.E., Condensation of moisture and its relation to building construction and operation, Transactions, American Society of Heating and Ventilating Engineers, 45, 1115, pp. 239-249, (1939); Rose W.B., Early history of attic ventilation, 12th International Roofing and Waterproofing Conference, (2002); Rose W.B., Ten Wolde A., Venting of attics and cathedral ceilings, ASHRAE Journal, 44, 10, pp. 26-33, (2002); Fugler D.W., Conclusions from ten years of canadian attic research, ASHRAE Transactions, 105, pp. 819-825, (1999); Saito H., Honma Y., Miura H., Suzuki H., Study for hygrothermal performance of attic in consideration of airtightness of wood-frame house based on whole building HAM analyses, AIJ Journal of Technology and Design, 17, 35, pp. 221-226, (2011); Kumaran M.K., Task 3: Material properties, Heat, Air, and Moisture Transfer in Insulated Envelope Parts, Final Report, 3, (1996); Kumaran M.K., Mukhopadhyaya P., Guidelines to avoid moisture and condensation problems in energy efficient building envelopes, Sixth Japan-Canada Housing R&amp;D Workshop, (2003); DuPont ™ Tyvek ™ Housewrap, (2009)</t>
  </si>
  <si>
    <t>2-s2.0-84962407644</t>
  </si>
  <si>
    <t>Teasdale-St-Hilaire A.; Derome D.</t>
  </si>
  <si>
    <t>Comparison of experimental and numerical results of wood-frame wall assemblies wetted by simulated wind-driven rain infiltration</t>
  </si>
  <si>
    <t>39</t>
  </si>
  <si>
    <t>10.1016/j.enbuild.2006.12.004</t>
  </si>
  <si>
    <t>https://www.scopus.com/inward/record.uri?eid=2-s2.0-34548309007&amp;doi=10.1016%2fj.enbuild.2006.12.004&amp;partnerID=40&amp;md5=85c4ee723a657ff5f53212d1310f55e7</t>
  </si>
  <si>
    <t>A large-scale building envelope experiment was conducted to study the effect of three sheathing materials and two vapor retarders on the drying performance of walls exposed to simulated rain infiltration in springtime in Montreal. The moisture source was a pre-wetted component within the wall called the bottom plate insert. Its moisture content was monitored on a daily basis through the course of the 35-day experiment. The experimental set-up was simulated using a two-dimensional hygrothermal model, WUFI-2D, and the moisture content within the bottom plate inserts was used to study the ability of the model to predict the wall response to the initial liquid water load. The differences between the experimental results are mainly attributed to: air convection loops within the insulated space, which are not accounted for in the simulation; estimation of the initial moisture content distribution within the bottom plate inserts in the simulation; isotropic material properties for an orthotropic material like wood material properties that were taken from a variety of sources and did not cover the entire moisture content range and use of a two-dimensional domain to simulate three-dimensional wall systems. © 2007 Elsevier B.V. All rights reserved.</t>
  </si>
  <si>
    <t>Building envelope; Hygrothermal performance; Numerical modeling; Numerical simulation; Sheathing; Vapor retarder; Water infiltration; Wind-driven rain</t>
  </si>
  <si>
    <t>Cable sheathing; Computer simulation; Drying; Infiltration; Mathematical models; Moisture; Wooden construction; Building envelope; Hygrothermal performance; Vapor retarder; Water infiltration; Wind-driven rain; Structural frames</t>
  </si>
  <si>
    <t>Teasdale-St-Hilaire A., Derome D., State-of-the-art review of simulated rain infiltration and environmental loading for large-scale building envelope testing, ASHRAE Transactions, vol. 111, part 2, pp. 389-401, (2005); Teasdale-St-Hilaire A., Derome D., Methodology and application of simulated wind-driven rain infiltration in building envelope experimental testing, ASHRAE Transactions, vol. 112, part 2, pp. 656-670, (2006); Teasdale-St-Hilaire A., Derome D., Fazio P., Investigating the role of the vapor retarder in the drying response of wood-frame walls wetted by simulated rain infiltration, Proceedings of the 10th Canadian Conference on Building Science and Technology, pp. 72-84, (2005); Teasdale-St-Hilaire A., Derome D., Fazio P., Behavior of wall assemblies with different wood sheathings wetted by simulated rain infiltration, Performance of the Exterior Envelopes of Whole Buildings IX, Conference Proceedings, ASHRAE, (2004); DeWit M.H., Heat and moisture in building envelopes. Faculteit Bouwkunde Capaciteitgroep FAGO, (2004); Derome D., Roels S., Carmeliet J., Qualitative work to study water movement in wood, Proceedings of the Seventh Symposium on Building Physics in the Nordic Countries, vol. 1, pp. 173-180, (2005); ASHRAE, 2001 ASHRAE Handbook, Fundamentals, (2001); McAdams W.H., Heat Transmission. third ed., (1954)</t>
  </si>
  <si>
    <t>2-s2.0-34548309007</t>
  </si>
  <si>
    <t>Saber H.H.; Maref W.; Elmahdy H.; Swinton M.C.; Glazer R.</t>
  </si>
  <si>
    <t>3D heat and air transport model for predicting the thermal resistances of insulated wall assemblies</t>
  </si>
  <si>
    <t>Journal of Building Performance Simulation</t>
  </si>
  <si>
    <t>10.1080/19401493.2010.532568</t>
  </si>
  <si>
    <t>https://www.scopus.com/inward/record.uri?eid=2-s2.0-79951944869&amp;doi=10.1080%2f19401493.2010.532568&amp;partnerID=40&amp;md5=d8f4daa9ba2e7ee56c6af0d9d541c0fc</t>
  </si>
  <si>
    <t>A wall energy rating (WER) system has been proposed to account for simultaneous thermal conduction and air leakage heat losses through a full-scale insulated wall system. Determining WER requires performing two standard tests on a full-scale wall specimen: a thermal resistance test and an air leakage test. A 3D model representation of the wall specimen is developed to combine the results of these tests to obtain an accurate prediction of the wall thermal resistance (apparent R-value) under the influence of air leakage. Two types of wall configurations were tested and simulated. The first one was a standard 2" × 6" wood stud frame construction, made of spruce, spaced at 16 (406 mm) o/c in 2.4 m × 2.4 m full-scale wall specimens. The second wall configuration was similar to the first one except that it included through-wall penetrations. The cavities of the two types of wall configurations were filled with different types of insulation, namely glass fibre batts and two different types of open cell spray polyurethane foams (light density, 6.8 and 12 kg/m 3 nominal), a total of six walls. The present 3D model was used to predict the R-values of different types of wall assemblies (with and without air leakage). This model is a new hygrothermal tool that was recently developed and benchmarked against hygIRC-2D that was previously developed at the National Research Council of Canada, Institute for Research in Construction. The 3D version of this model was benchmarked by comparing its predictions of R-values for different types of wall assemblies against the measured R-values in the guarded hot box at no air leakage. Results showed that the present model predicted R-values of six walls to within ±5%. The 3D model was then used to investigate the effect of air leakage rate on the apparent R-values for these same walls. The results showed that the apparent R-values decreases linearly with air leakage rate less than ~ 0.1 L/(m 2 · s). At air leakage rate greater than ~ 0.1 L/(m 2 · s), the apparent R-values decrease asymptotically. © 2012 Taylor and Francis Group, LLC.</t>
  </si>
  <si>
    <t>3-dimensional; CFD modelling; spray polyurethane foam; thermal resistance; walls, assemblies, air leakage</t>
  </si>
  <si>
    <t>Glass fibers; Heat resistance; Rigid foamed plastics; 3-dimensional; 3D models; Accurate prediction; Air leakage; Air transport; CFD modelling; Frame construction; Hygrothermal tool; Insulated walls; Light density; National Research Council of Canada; Open-cell; R value; Spray polyurethane foams; Standard tests; Thermal conduction; Through walls; Wall assembly; Wall energy; walls, assemblies, air leakage; Three dimensional</t>
  </si>
  <si>
    <t>Abadie M.O., Finlayson E.U., Gadgil A.J., Infiltration heat recovery in building walls: Computational fluid dynamics investigations results, (2002); ASTM-C-976-82, Standard test method for thermal performance of building assemblies by means of a calibrated hot box, (1982); ASTM-E-283, Test method for rate of air leakage through exterior windows, curtain walls and doors, (1997); ASTM-C-1199, Test method for measuring the steady state thermal transmittance of fenestration systems using hot box methods, (1998); ASTM-E-1423, Practice for determining the steady state thermal transmittance of fenestration systems, (1998); ASTM-C-518, Steady-state thermal transmission properties by means of the heat flow meter apparatus, (2004); Bhattacharyya S., Claridge D.E., The energy impact of air leakage through insulated walls, Journal of Solar Engineering, 117, 3, pp. 167-172, (1995); Bird R.B., Stewart W.E., Lightfoot E.N., Transport phenomena. Department of Chemical Engineering, University of Wisconsin Madison, Wisconsin, (1960); Bomberg M.T., Kumaran M.K., Report on sprayed polyurethane foam with alternative blowing agents, A compilation of technical publications, 2, pp. 112-128, (1989); Buchanan C.R., Sherman M.H., A mathematical model for infiltration heat recovery, (2000); Claridge D.E., Bhattacharyya S., The measured impact of infiltration in a test cell, J. Solar Energy Engineering, 117, pp. 167-172, (1990); Technical guide for air barrier systems for exterior walls of low-rise buildings, masterformat section 07272, (1996); Elmahdy A.H., Heat transmission and R-value of fenestration systems using IRC hot box: Procedure and uncertainty analysis, ASHRAE Transactions, 98, 2, pp. 630-637, (1992); Elmahdy A.H., Development of energy ratings for insulated wall assemblies, pp. 21-30, (2009); Elmahdy A.H., Energy rating of polyurethane spray foamed walls: Procedures and preliminary results; Feustel H.E., Kendon V.M., Infiltration models for multicellular structures - a literature review, Energy and Buildings, 8, pp. 123-136, (1988); Kumaran M.K., Bomberg M.T., Thermal performance of sprayed polyurethane foam insulation with alternative blowing agents, Journal of Thermal Insulation, 14, pp. 43-57, (1990); Kumaran K., A thermal and moisture transport property database for common building and insulating materials, (2004); Maref W., Assessment of energy rating of polyurethane spray walls: Procedure and interim results, ASTM 2nd symposium on heat-air-moisture transport: Measurements and implications in buildings, Sponsored by ASTM C16 on Thermal Insulation; Maref W., Laboratory measurements and benchmarking of an advanced hygrothermal model, Proceedings of the 12th international heat transfer conference, pp. 117-122; Maref W., Benchmarking of the advanced hygrothermal model-hygIRC with mid-scale experiments, eSim 2002 Proceedings, pp. 171-176, (2002); Issued by the Canadian Commission on Building and Fire Codes, 1, (2005); Pakdee W., Rattanadecho P., Unsteady effects of natural convective heat transfer through porous media in cavity due to top surface partial convection, Applied Thermal Engineering, 26, pp. 1326-2316, (2006); Qiu K., Haghighat F., Modeling the combined conduction - air infiltration through diffusive building envelope, Energy and Buildings, 39, pp. 1140-1150, (2007); Saber H.H., Swinton M.C., Determining through numerical modeling the effective thermal resistance of a foundation wall system with low emissivity material and furred - Airspace, pp. 247-257, (2010); Sozer E., Shyy W., Multi-scale thermo-fluid transport in porous media, International Journal of Numerical Methods for Heat &amp; Fluid Flow, 19, pp. 883-899, (2008); Tariku F., Numerical simulations for determining the thermal response of wall systems with medium density polyurethane spray foams; ULC S705.1-01, (Including amendments 1&amp;2). Standard for thermal insulation-spray applied rigid polyurethane foam, medium density material-specification, (2005); Vafai K., Tien C.L., Boundary and inertia effects on flow and heat transfer in porous media, International Journal of Heat and Mass Transfer, 24, pp. 195-203, (1981)</t>
  </si>
  <si>
    <t>2-s2.0-79951944869</t>
  </si>
  <si>
    <t>Belleudy C.; Woloszyn M.; Chhay M.; Cosnier M.</t>
  </si>
  <si>
    <t>A 2D model for coupled heat, air, and moisture transfer through porous media in contact with air channels</t>
  </si>
  <si>
    <t>International Journal of Heat and Mass Transfer</t>
  </si>
  <si>
    <t>10.1016/j.ijheatmasstransfer.2015.12.030</t>
  </si>
  <si>
    <t>https://www.scopus.com/inward/record.uri?eid=2-s2.0-84951919970&amp;doi=10.1016%2fj.ijheatmasstransfer.2015.12.030&amp;partnerID=40&amp;md5=bcbe0fac2b4ec85c543321957812b52c</t>
  </si>
  <si>
    <t>Detailed modelling of air leakage paths through complex building wall assemblies is a challenging task. It requires transient modelling of diffusion and advection phenomena through fluid and solid domains, including porous materials and air channels. In this article, the development of a numerical model coupling heat air and moisture transfers (commonly called HAM transfers) is presented. The model is able to deal with non-isothermal air flow through complex 2D (two-dimensional) geometries, combining air channels and porous media, air permeable or not. A stepwise 1D validation of the model is achieved with numerical benchmarks. The model is then tested on a 2D air leakage configuration subjected to infiltration and exfiltration scenarii. © 2015 Elsevier Ltd. All rights reserved.</t>
  </si>
  <si>
    <t>Air channels; Air leakage; HAM model; Moisture; Porous media; Transient</t>
  </si>
  <si>
    <t>Moisture; Moisture control; Porous materials; Transients; Air and moisture transfer; Air channels; Air leakage; Complex buildings; Fluid and solids; Nonisothermal; Numerical benchmark; Transient modelling; Air</t>
  </si>
  <si>
    <t>Glaser H., Temperatur und Dampfdruckverlauf in Einer Homogenen Wand Bei Feuchteausscheidung, Kältetechnik, pp. 174-181, (1958); Kunzel H.M., Kiessl K., Calculation of heat and moisture transfer in exposed building components, Int. J. Heat Mass Transfer, 40, 1, pp. 159-167, (1996); Grunewald J., Diffusiver und Konvektiver Stoff- Und Energietransport in Kapillarporösen Baustoffen (Ph.D. Thesis), (1997); Talukdar P., Osanyintola O.F., Olutimayin S.O., Simonson C.J., An experimental data set for benchmarking 1-D, transient heat and moisture transfer models of hygroscopic building materials. Part II: Experimental, numerical and analytical data, Int. J. Heat Mass Transfer, 50, 25-26, pp. 4915-4926, (2007); Zirkelbach D., Hartwig M., Beate Schafaczek K., Dampfkonvektion wird berechenbar-Instationäres Modell zur Berücksichtigung von konvektivem Feuchteeintrag bei der Simulation von Leichtbaukonstruktionen, 4th International Symposium on Building and Ductwork Airtightness &amp; 30th AIVC Conference, pp. 1-8, (2009); Desmarais G., Derome D., Fazio P., Mapping of air leakage in exterior wall assemblies, J. Therm. Envelope Build. Sci., 24, 2, pp. 132-154, (2000); Abadie M.O., Finlayson E.U., Gadgil A.J., Infiltration heat recovery in building walls: Computational fluid dynamics investigations results, Technical Report, (2002); Langlais C., Arquis E., McCaa D.J., A theoretical and experimental study of convective effect in loose-fill thermal insulation, Insul. Mater.: Test. Appl., ASTM STP, 1030, pp. 290-318, (1990); Silberstein A., Langlais C., Arquis E., Natural convection in light fibrous insulating materials with permeable interfaces: Onset criteria and its effect on the thermal performances of the product, J. Build. Phys., 14, 1, pp. 22-42, (1990); Saber H., Maref W., Elmahdy H., Swinton M., Glatzer R., 3d heat and air transport model for predicting the thermal resistances of insulated wall assemblies, J. Perform. Simul., pp. 75-91, (2012); Tariku F., Kumaran K., Fazio P., Transient model for coupled heat, air and moisture transfer through multilayered porous media, Int. J. Heat Mass Transfer, 53, 15-16, pp. 3035-3044, (2010); Li Q., Rao J., Fazio P., Development of HAM tool for building envelope analysis, Build. Environ., 44, 5, pp. 1065-1073, (2009); Van Schijndel A.W.M., Integrated modeling of dynamic heat, air and moisture processes in buildings and systems using SimuLink and COMSOL, Build. Simul., 2, 2, pp. 143-155, (2009); Dos Santos G.H., Mendes N., Heat, air and moisture transfer through hollow porous blocks, Int. J. Heat Mass Transfer, 52, 9-10, pp. 2390-2398, (2009); Aguilar-Madera C.G., Valdes-Parada F.J., Goyeau B., Alberto Ochoa-Tapia J., Aguilar-Madera C.G., One-domain approach for heat transfer between a porous medium and a fluid, Int. J. Heat Mass Transfer, 54, 9-10, pp. 2089-2099, (2011); Nespoli L., Janetti M.B., Ochs F., Comparing different approaches for moisture transfer inside constructions with air gaps, COMSOL Conference Rotterdam, (2013); Janetti M.B., Assessment of the moisture risk in constructions including convection inside air cavities, 10th Nordic Symposium on Building Physics, pp. 1038-1044; Kunzel H.M., Modeling air leakage in hygrothermal envelope simulation, BEST 3 Conference, (2012); Litvak A., Campagne de Mesure de l'Étanchéité à l'Air de 123 Logements RT2000 - Rapport Final\, (2005); Janssens A., Reliable Control of Interstitial Condensation in Lightweight Roof Systems: Calculation and Assessment Methods (Ph.D. Thesis), (1998); Langmans J., Nicolai A., Klein R., Roels S., A quasi-steady state implementation of air convection in a transient heat and moisture building component model, Build. Environ., 58, pp. 208-218, (2012); Nield D.A., Bejan A., Convection in Porous Media, (2006); Bird R.B., Stewart W.E., Lightfoot E.N., Transport Phenomena, (2002); Ashrae, Chapter 26 - Heat, Air and Moisture Control in Building Assemblies - Material Properties, (2013); Bejan A., Convection Heat Transfer, (2013); Chan W.R., Price P.N., Sohn M.D., Gadgil A.J., Analysis of US Residential Air Leakage Database, (2003); Beavers G.S., Joseph D.D., Boundary conditions at a natural permeable wall, J. Fluid Mech., 30, pp. 197-207, (1967); Belleudy C., Kayello A., Woloszyn M., Ge H., Fazio P., Chhay M., Quenard D., A heat-airflow model for simulating the effects of air leakage on the temperature field in porous insulation, 10th Nordic Symposium on Building Physics, pp. 79-86, (2014); Kunzel H.M., Simultaneous Heat and Moisture Transport in Building Component (Ph.D. Thesis), Fraunhofer IBP, (1995); Hagentoft C.-E., Kalagasidis A.S., Adl-Zarrabi B., Roels S., Carmeliet J., Hens H., Grunewald J., Funk M., Becker R., Shamir D., Adan O., Brocken H., Kumaran K., Djebbar R., Assessment method of numerical prediction models for combined heat, air and moisture transfer in building components: Benchmarks for one-dimensional cases, J. Build. Phys., 27, 4, pp. 327-352, (2004); Galbraith G.H., McLean R.C., Guo J., The selection of appropriate flow potentials for moisture transport models, Proceedings of the 6th IBPSA Conference, pp. 8-10, (1997); Janssen H., Simulation efficiency and accuracy of different moisture transfer potentials, J. Build. Perform. Simul., 7, 5, pp. 379-389, (2014); Funk M., Wakili K.G., Driving potentials of heat and mass transport in porous building materials: A comparison between general linear, thermodynamic and micromechanical derivation schemes, Transp. Porous Media, 72, 3, pp. 273-294, (2008); Hens H., Building Physics - Heat, Air and Moisture: Fundamentals and Engineering Methods with Examples and Exercises, (2012); Kuwahara F., Shirota M., Nakayama A., A numerical study of interfacial convective heat transfer coefficient in two-energy equation model for convection in porous media, Int. J. Heat Mass Transfer, 44, 6, pp. 1153-1159, (2001); Buchanan C.R., Sherman M.H., A mathematical model for infiltration heat recovery, Report LBNL-44294; COMSOL; Belleudy C., Kayello A., Woloszyn M., Ge H., Experimental and numerical investigations of the effects of air leakage on temperature and moisture fields in porous insulation, Build. Environ., 94, pp. 457-466, (2015); Carnets Prebat Mininfil, Mémento étanchéité - Construction Ossature Bois - Isolation Thermique Intégrée. Report, (2010); TenWolde A., Rose W.B., Moisture control strategies for the building envelope, J. Building Phys., 19, 3, pp. 206-214, (1996); Janssens A., Hens H., Interstitial condensation due to air leakage: A sensitivity analysis, J. Building Phys., 27, 1, pp. 15-19, (2003)</t>
  </si>
  <si>
    <t>2-s2.0-84951919970</t>
  </si>
  <si>
    <t>Bassett M.R.; Overton G.; McNeil S.</t>
  </si>
  <si>
    <t>Air infiltration in walls with direct-fixed claddings</t>
  </si>
  <si>
    <t>10.1177/1744259114527807</t>
  </si>
  <si>
    <t>https://www.scopus.com/inward/record.uri?eid=2-s2.0-84930460790&amp;doi=10.1177%2f1744259114527807&amp;partnerID=40&amp;md5=8075bcf3c69229fc62f2a960abb44bee</t>
  </si>
  <si>
    <t>This research examines the extent to which drainage and ventilation drying can remove water that has leaked through claddings on walls with no specific drainage cavity. In this study, tracer gas and zonal computer models were used to measure and predict air infiltration in the space between the wall underlay and the cladding and in the insulated spaces in 16 wall specimens. Half of the walls were clad with weatherboards direct fixed to the frame over a synthetic flexible wall underlay, and the remaining eight had 'barrier' or sheet claddings. A companion paper describes drainage and drying measurements in the same walls. Tracer gas measurements showed that average infiltration through weatherboard claddings (0.2 L/s) was much higher than behind sheet claddings (0.03 L/s). The range of day-average infiltration measured behind weatherboards (0.02-1 L/s) actually overlapped earlier measurements in bottom-vented cavity walls (0.1-2 L/s), and this is thought to partly explain the successful track record of direct-fixed weatherboard claddings in New Zealand. The airflow characteristics of leakage paths through claddings and at junctions between the timber frame, cladding, lining and underlay were also measured and used in a zonal model to calculate infiltration rates into the insulated spaces and behind the different claddings. There was acceptable agreement between measured and calculated infiltration, and this supports the next step of applying the computer models to whole buildings to better understand the heat and moisture consequences of air infiltration in New Zealand walls. © The Author(s) 2014.</t>
  </si>
  <si>
    <t>cavity ventilation; tracer-measured ventilation; Water leakage risk</t>
  </si>
  <si>
    <t>Cladding (coating); Risk assessment; Ventilation; Walls (structural partitions); Air infiltration; Airflow characteristics; Computer models; Flexible wall; Infiltration rate; Sheet cladding; Space between; Water leakage; Infiltration</t>
  </si>
  <si>
    <t>Bassett M.R., Building site measurements for predicting air infiltration rates, Proceedings of ASTM Symposium on Measured Air Leakage Performance of Building; Bassett M.R., McNeil S., Measured ventilation rates in water managed wall cavities, Proceedings of Third International Building Physics Conference; Bassett M.R., McNeil S., Ventilating wall cavities above windows, Journal of Building Physics, 32, 4, pp. 305-318, (2009); Bassett M.R., McNeil S., Weathertight characteristics of weatherboard claddings, Proceedings of 12th Canadian Conference on Building Science and Technology; Burnett E., Straube J., (1995); Desmarais G., Derome D., Fazio P., Mapping of air leakage in exterior wall assemblies, Journal of Building Physics, 24, 2, pp. 132-154, (2000); Liddament M.W., Air Infiltration Calculation Techniques - An Applications Guide, (1986); Pinon J.P., Efp B., Davidovic D., Et al., The airflow characteristics of ventilated cavities in screen type enclosure wall systems (RP-1091), Performance of Exterior Envelopes of Whole Buildings IX; Wind Effects on Buildings and Urban Environments, A Wind Pressure Database; Vanstraaten R., Straube J., Field Study of Airflows behind Brick Veneers, (2004)</t>
  </si>
  <si>
    <t>2-s2.0-84930460790</t>
  </si>
  <si>
    <t>Ilomets S.; Kalamees T.</t>
  </si>
  <si>
    <t>Case-study analysis on hygrothermal performance of ETICS on concrete wall after low-budget energy renovation</t>
  </si>
  <si>
    <t>https://www.scopus.com/inward/record.uri?eid=2-s2.0-84966680848&amp;partnerID=40&amp;md5=63b267313dae6bda8fc0e486a43c176c</t>
  </si>
  <si>
    <t>Hygrothermal performance of mineral wool and expanded polystyrene external thermal insulation composite system (ETICS/ EIFS) was studied in field conditions and by computer simulations with the Delphin program. Temperature and relative humidity were measured in a additionally insulated large panel concrete element wall from September 2011 to January 2013 in the cold climate of Estonia. Measurements of indoor climate, air leakage, and thermal bridges through building fabric were conducted before and after the low-budget energy renovation pilot project of an apartment building. Results showed that indoor climate and thermal comfort were not improved a lot in all aspects and the same was true for airtightness. Unacceptable thermal bridges remained at external wall/balcony, external wall/foundation wall junction, and also around the windows because they stayed in their original position. Built-in moisture of the whole wall dried out during the first heating season. Better agreement was found between measured and results if the convective moisture flow in addition to diffusion was taken into account in simulations. Average measured thermal transmittance during the winter was Uwall 0.17 W/(m2·K) in the case of graphite enhanced EPS and 0.19 W/(m2·K) with mineral wool. Long-term durability of ETICS in cold climate and under wind driven rain loads need further investigation. © 2013 ASHRAE.</t>
  </si>
  <si>
    <t>Apartment houses; Budget control; Concretes; Mineral wool; Moisture; Thermal insulation; Wool; Yarn; Apartment buildings; Case study analysis; Expanded polystyrene; External thermal insulation composite systems; Hygrothermal performance; Long term durability; Temperature and relative humidity; Thermal transmittance; Walls (structural partitions)</t>
  </si>
  <si>
    <t>Balaras C.A., Droutsa K., Dascalaki E., Kontoyiannidis S., Deterioration of European apartment buildings, Energy and Buildings, 37, 5, pp. 515-527, (2005); Balocco C., Grazzini G., Cavalera A., Transient analysis of an external building cladding, Energy and Buildings, 40, 7, pp. 1273-1277, (2008); Bomberg M., Lstiburek J., Nabhan F., Long-Term, Hygrothermal Performance of Exterior Insulation and Finish Systems (EIFS), Journal of Building Physics, 20, 3, pp. 227-248, (1997); Cheple M., Huelman P., Literature Review of Exterior Insulation Finish Systems and Stucco Finishes, (2000); Desjarlais A.O., Karagiozis A.N., Aoki-Kramer M., Wall Moisture Problems in Seattle, (2001); Dol K., Haffner M., Housing Statistics in the European Union 2010, (2010); Dall' O'G., Galante A., Pasetti G., A methodology for evaluating the potential energy savings of retrofitting residential building stocks, Sustainable Cities and Society, pp. 12-21, (2012); Economidou M., Atanasiu B., Despret C., Maio J., Nolte I., Rapf O., European buildings under the microscope: A country-by-country review of the energy performance of European buildings, Buildings Performance Institute, (2011); EN ISO 10211 Thermal Bridges in Building Construction - Heat Flows and Surface Temperatures - Detailed Calculations; EN ISO 13788 Hygrothermal Performance of Building Components and Building Elements; EN 13187 Thermal Performance of Buildings; EN 13829 Thermal Performance of Buildings; Hagentoft C.E., Importance of A Correct Overall Performance Assessment - Probability Assessment of Performance and Cost, (2010); Hens H., Carmeliet J., Performance prediction for masonry walls with EIFS using calculation procedures and laboratory testing, Journal of Thermal Envelope and Building Science, 25, 3, (2002); Holm A., Kunzel H.M., Combined Effect of Temperature and Humidity of the Deterioration Process of Insulation Materials in ETICS, (1999); Ilomets S., Kalamees T., Agasild T., Oiger K., Raado L.M., Durability of concrete and brick facades of apartment buildings built between 1960-90 in Estonia, Proceedings: XII DBMC International Conference on Durability of Building Materials and Components, pp. 1171-1178, (2011); Holopainen R., Tuomaala P., Effect of Energy Renovation on Thermal Sensation and Comfort during Heating Season, pp. 1069-1076, (2011); Kalamees T., Oiger K., Koiv T.A., Et al., Technical Condition and Service Life of Estonian Apartment Buildings, Built with Prefabricated Concrete Elements, (2009); Kalamees T., Hygrothermal Criteria for Design and Simulation of Buildings, (2006); Karagiozis A., Kumaran K., Drying Potential of EIFS Walls: Innovative Vapor Control Strategies, (1997); Krus M., Hofbauer W., Lengsfeld K., Microbial Growth on ETICS as a Result of the New Building Technology?, Building Physics Symposium; Bergheim K.B., Thue E., Vincent J., Durability of External Thermal Insulation Composite Systems (ETICS) with Rendering, (2008); Kunzel H.M., Drying of Masonry with Exterior Insulation, Proceedings of the Fifth International Masonry Conference, pp. 245-250, (1998); Kunzel H.M., Zirkelbach D., Influence of Rain Water Leakage on the Hygrothermal Performance of Exterior Insulation Systems; Nemry F., Uihlein A., Colodel C.M., Wetzel C., Braune A., Wittstock B., Hasan I., Kreissig J., Gallon N., Niemeier S., Frechy, Options to reduce the environmental impacts of residential buildings in the European Union - Potential and costs, Energy and Buildings, 42, 7, pp. 976-984, (2010); Nicolai A., Modeling and Numerical Simulation of Salt Transport and Phase Transitions in Unsaturated Porous Building Materials, Dissertation, (2008); Olson P.E.E.K., Taylor J.A., Retrofitting Barrier Exterior Insulation and Finish System: Methodology and Performance Assessment, pp. 229-237, (2009); Sedlbauer K., Krus M., Information and Technology Transfer from IBP: Mold Growth on ETICS (EIFS) as a Result of "bad Workmanship"?, Journal of Thermal Envelope and Building Science, 26, 2, pp. 117-121, (2002); Silva P.C.P., Almeida M., Braganca L., Mesquita V., Development of prefabricated retrofit module towards nearly zero energy buildings, Energy and Buildings, 56, pp. 115-125, (2013); Uihlein A., Eder P., Policy options towards an energy efficient residential building stock in the EU-27. 2010, Energy and Buildings, 42, 6, pp. 791-798; Sirje V., Sakari P., Tomi T., Ludovic F., Petr H., Erkki V., Et al., Sustainable Refurbishment of Exterior Walls and Building Facades, (2012)</t>
  </si>
  <si>
    <t>2-s2.0-84966680848</t>
  </si>
  <si>
    <t>Carrigan S.; Kornadt O.; Shklyar I.; Andrä H.</t>
  </si>
  <si>
    <t>Combining thermal imaging with computational fluid dynamics to determine the volume flow through leakages; [Kombination von Thermografieaufnahmen mit numerischen Strömungssimulationen zur Bestimmung des Volumenstroms durch Leckagen]</t>
  </si>
  <si>
    <t>10.1002/bapi.201610019</t>
  </si>
  <si>
    <t>https://www.scopus.com/inward/record.uri?eid=2-s2.0-84979985991&amp;doi=10.1002%2fbapi.201610019&amp;partnerID=40&amp;md5=f22fbda5ce2a6390de455f220a68fe28</t>
  </si>
  <si>
    <t>Energy-saving building requires in addition to a good thermal building insulation an airtight building envelope. Leakages in exterior building elements therefore have to be avoided or repaired, also in consideration of the fact that they can lead to structural damage by moisture. Thermal imaging can be used to detect leakages. However, to date only the positioning of the leakage is possible, while the energy loss through the leakage cannot be specified yet. The aim of the analysis at hand was to assess the potential of thermal imaging regarding a simple, fast and precise method to determine the quantity of the energy loss due to the air flow through a leakage. For this purpose an experimental setup was developed and experiments were conducted. Those were compared to results from computational fluid dynamics. In doing so, a very good agreement between experiment and simulation was found. Furthermore, it could be shown that the thermographic image is highly sensitive to the fluid velocity and the structural-physical parameters of the building material which exhibits the leakage. This demonstrates great potential for drawing conclusions from a thermal image of a leakage with an air flow about the energy loss through this leakage. © 2016 Ernst &amp; Sohn Verlag für Architektur und technische Wissenschaften GmbH &amp; Co. KG, Berlin.</t>
  </si>
  <si>
    <t>Fluid simulation; Heat loss; Leakage; Thermal imaging</t>
  </si>
  <si>
    <t>Umweltnutzung und Wirtschaft: Tabellen zu den Umweltökonomischen Gesamtrechnungen, Teil 2: Energie. Statistisches Bundesamt, (2014); Directive 2012/27/EU of the European Parliament and of the Council of 25 October 2012 on energy efficiency, amending Directives 2009/125/EC and 2010/30/EU and repealing Directives 2004/8/EC and 2006/32/EC (Text with EEA relevance), European Parliament and Council of the European Union, (2012); Schmidt J., Kornadt O., Konvektiver Feuchtetransport und daraus resultierende Bauschäden, Der Bausachverständige, 8, 6, pp. 22-28, (2012); Schmidt J., Kornadt O., Konvektiver Feuchtetransport durch Bauteilleckagen in Bestandsgebäuden, (2010); Fouad N.A., Richter T., Leitfaden Thermografie im Bauwesen: Theorie, Anwendungsgebiete, praktische Umsetzung, (2006); Selvey L.A., Antao C., Hall R., Evaluation of Border Entry Screening for Infectious Diseases in Humans, Emerging Infectious Disease journal, 21, 2, (2015); Durch Vorausschauen kein Nachsehen. Thermografie vereinfacht vorbeugende Instandhaltung in Kraftwerken, BWK. Brennstoff Wärme Kraft, (1999); Blaschke D., Thermografieeinsatz in der Kesselanlage eines Wärmeverbundkraftwerks, Technische Überwachung, 45, 11-12, pp. 32-34, (2004); Videobasierte Raucherkennung sorgt für Sicherheit im Hamburger Hafen, GIT-Sicherheit 2011.[besucht 2016 18.02], 18, (2011); Behaneck M., Photovoltaik-Thermografie, (2015); Fuchs F., Hugger S., Kinzer M., Yang Q.K., Bronner W., Aidam R., Degreif K., Rademacher S., Schnurer F., Schweikert W., Standoff detection of explosives with broad band tunable external cavity quantum cascade lasers; Nagel L., Krall K.E., Jahne B., Comparative heat and gas exchange measurements in the Heidelberg Aeolotron, a large annular wind-wave tank, Ocean Sci., 11, 1, pp. 111-120, (2015); Geissler A., Hauser G., Leckageortung an Gebäuden, (2000); Dufour M.B., Derome D., Zmeureanu R., Analysis of thermograms for the estimation of dimensions of cracks in building envelope, Infrared Physics &amp; Technology, 52, 2, pp. 70-78, (2009); Waite M.B., O'Brien S.M., Air Leakages: Difficulties in measurement, quantification and energy simulation, (2010); Fermacell Gipsfaser Platte, (2016); Optris PI 400, (2016); Dautray R., Lions J.-L., Mathematical Analysis and Numerical Methods for Science and Technology, Vol 1: Physical Origins and Classical Methods, (2000); ANSYS Fluent User, (2015); ANSYS Fluent Theory, (2015)</t>
  </si>
  <si>
    <t>2-s2.0-84979985991</t>
  </si>
  <si>
    <t>Abi Shdid C.; Younes C.</t>
  </si>
  <si>
    <t>Validating a new model for rapid multi-dimensional combined heat and air infiltration building energy simulation</t>
  </si>
  <si>
    <t>10.1016/j.enbuild.2014.11.038</t>
  </si>
  <si>
    <t>https://www.scopus.com/inward/record.uri?eid=2-s2.0-84912552053&amp;doi=10.1016%2fj.enbuild.2014.11.038&amp;partnerID=40&amp;md5=92885590af3c5f3f3a7097018f4d2024</t>
  </si>
  <si>
    <t>The relative accuracy of current thermal simulation algorithms is evaluated against an intricate multiphysics hygrothermal computational fluid dynamics (CFD) building envelope analysis that incorporates, in addition to real-life conditions, a meticulous representation of cracking in building envelopes. The study found that even the most advanced current algorithms have up to 96.13% relative error versus CFD analysis. A new model for combined heat and air infiltration simulation is developed and presented. The model resulted in up to 91.6% improvement in relative accuracy over current algorithms. It reduces error versus CFD analysis to less than 4.5% while requiring less than 1% of the time required for a complex hygrothermal analysis. The model used is demonstrated to be easy to integrate into other simulation engines as a standalone method for evaluating infiltration heat loads. This will vastly increase the accuracy of such simulation engines while maintaining their speed and ease of use characteristics that make them very widely used in building energy design. © 2014 Elsevier B.V.</t>
  </si>
  <si>
    <t>Air; Building envelope; CFD; Cracks; Exfiltration; Hygrothermal; Infiltration; Leakage; Multiphysics</t>
  </si>
  <si>
    <t>Air; Computational fluid dynamics; Cracks; Heat engines; Infiltration; Leakage (fluid); Solar buildings; Building energy simulations; Building envelopes; Exfiltration; Hygrothermal; Hygrothermal analysis; Multi-physics; Simulation engine; Thermal simulations; Structural design</t>
  </si>
  <si>
    <t>Energy Overview, (2010); Brownell C., Infiltration Heat Recovery, (2002); Paradis R., Energy Analysis Tool: Whole Building Design Guide, (2010); Building Energy Software Tools Directory, (2010); Ng L.C., Musser A., Persily A.K., Emmerich S.J., Multizone airflow models for calculating infiltration rates in commercial reference buildings, Energy Build., 58, pp. 11-18, (2010); Kirkwood R.C., Fuel consumption in industrial buildings, Build. Serv. Eng., 45, 3, pp. 23-31, (1977); Nevrala D.J., Etheridge D.W., Natural ventilation in well-insulated houses, Proceedings of International Centre for Heat and Mass Transfer, International Seminar, Vol. 3, (1977); Caffey G.E., Residential air infiltration, ASHRAE Trans., 85, pp. 919-926, (1979); Persily A., Understanding Air Infiltration in Homes (Report PU/CEES # 129)., (1982); Sherman M., Matson N., Ventilation-energy liabilities in U.S dwellings, Proceedings of the 14th AVIC Conference: Energy Impact of Ventilation and Air Infiltration, pp. 23-41, (1993); Younes C., Abi Shdid C., Bitsuamlak G., Air infiltration through building envelopes: A review, J. Build. Phys., 35, 3, pp. 267-302, (2012); Chebil S., Galanis N., Zameureanu R., Computer simulation of thermal impact of air infiltration through multilayered exterioir walls, Proceedings of the Eighth International IBPSA Conference, (2003); Boussa H., Tognazzi-Lawrence C., La Borderie C., A model for computation of leakage through damaged concrete structures, Cem. Concr. Compos., 23, pp. 279-287, (2001); Buchanan C.R., Sherman M.H., CFD simulation of infiltration heat recovery, Proceedings of the 19th AIVC Annual Conference on Ventilation Technologies in Urban Areas, (1998); Younes C., Abi Shdid C., A methodology for 3-D multiphysics CFD simulation of air leakage in building envelopes, Energy Build., 65, pp. 146-158, (2013); Anderlind G., Energy consumption due to air infiltration, Proceedings of the 3rd ASHRAE/DOE/BTECC Conference on Thermal Performance of Exterior Envelopes of Buildings, pp. 201-208, (1985); Kohonen R., Thermal effects of airflows and moisture on exterior wall structures, Proceedings of the 3rd ASHRAE/DOE/BTECC Conference on Thermal Performance of Exterior Envelopes of Buildings, pp. 583-605, (1985); Kohonen R., Virtanem M., Thermal coupling of leakage flows and heating load of buildings, ASHRAE Trans., 93, pp. 2303-2318, (1987); Liu M., Study of Air Infiltration Energy Consumption, (1992); Kai Q., Fariborz H., Modeling the combined conduction - Air infiltration through diffusive building envelope, Energy Build., 39, 11, pp. 1140-1150, (2007); Costola D., Blocken B., Ohba M., Hensen J.L.M., Uncertainty in airflow rate calculations due to the use of surface-averaged pressure coefficients, Energy Build., 42, 6, pp. 881-888, (2010); Kurnitski J., Saari A., Kalamees T., Vuolle M., Niemela J., Tark T., Cost optimal and nearly zero (nZEB) energy performance calculations for residential buildings with REHVA definition for nZEB national implementation, Energy Build., 43, 11, pp. 3279-3288, (2011); Brinks P., Kornadt O., Oly R., Air infiltration assessment for industrial buildings, Energy Build., (2014); Han G., Srebric J., Enache-Pommer E., Different modeling strategies of infiltration rates for an office building to improve accuracy of building energy simulations, Energy Build., (2014); Younes C., Abi Shdid C., An enhanced model for combined heat and air infiltration energy simulation, J. Build. Phys., 37, 4, pp. 267-302, (2014); Structural Engineering Institute, Minimum design loads for buildings and other structures, ASCE Publ., 7, 5, (2006); Sherman M., McWilliams J., Air Leakage of U.S. Homes: Model Prediction (Report LBNL-62078), (2007); Oceanic N., Administration A., NOAA NCDC GCPS Monthly Station: Baseline Climatological Dataset of Weather Station, (2012); Hirsch J.J., Et al., DOE-2.2 Building Energy Use and Cost Analysis Program, Camarillo, CA, 2, (2009); Bobenhausen W., Heat loss from buildings, Simplified Design of HVAC Systems, pp. 63-93, (1994); Walker I.S., Wilson D.J., Field validation of algebraic equations for stack and wind driven air infiltration calculations, Int. J. HVAC&amp;R Res., 4, 2, pp. 119-140, (1998); Refrigetrating and air-conditioning engineers. Chapter 16: Ventilation and infiltration, ASHRAE Handbook - Funamentals, pp. 161-1636, (2009); Etheridge D.W., Modeling of air infiltration in single and multi-cell buildings, Energy Build., 10, 3, pp. 185-192, (1988); Tan G., Glicksman L.R., Application of integrating multi-zone model with CFD simulation to natural ventilation prediction, Energy Build., 37, 10, pp. 1049-1057, (2005)</t>
  </si>
  <si>
    <t>2-s2.0-84912552053</t>
  </si>
  <si>
    <t>Integrated methodology for evaluation of energy performance of building enclosures: Part II - Examples of application to residential walls</t>
  </si>
  <si>
    <t>10.1177/1744259108093317</t>
  </si>
  <si>
    <t>https://www.scopus.com/inward/record.uri?eid=2-s2.0-46249102898&amp;doi=10.1177%2f1744259108093317&amp;partnerID=40&amp;md5=a78deff2cade30ce9ac1095257d7e893</t>
  </si>
  <si>
    <t>It is often forgotten that the building sector consumes more energy than the transportation sector. To meet expectations and needs of our society, one must seek significant improvements in the efficient use of energy for this purpose. In many instances our normal approach based on conventional testing methods is not comprehensive enough. For instance, the thermal performance of a wall is defined by tests performed on dry materials, without considering the air and moisture movements. The energy performance of materials and building assemblies is affected by moisture and air flows. The authors believe that a more precise means of evaluation of the thermal performance of assemblies must be used to guide us in developing construction practices that lead to better performance. This should include consideration of air and moisture transfer under field conditions. The previous part of this study describes the limitations of conventional thermal resistance testing using calibrated hot boxes and explains that the effect of climate on thermal performance must also involve use of computer models that are capable of simultaneous calculations of heat, air, and moisture (HAM) transfer. In this study, the integrated testing and modeling methodology proposed is applied to a few selected residential walls to highlight the magnitude of air flow effects compared with steady-state thermal resistance without air flows. Effectively, to characterize energy performance of the building enclosure, one must use an integrated methodology that uses both testing and modeling. The study represents a first step in this direction. © SAGE Publications 2008.</t>
  </si>
  <si>
    <t>Air and moisture transfer; Energy efficiency; Heat; Heat losses and gains; Low energy housing; Thermal performance</t>
  </si>
  <si>
    <t>Air; Buildings; Computer systems; Enclosures; Health; Heat resistance; Lead; Mixed convection; Moisture; Photoacoustic effect; Walls (structural partitions); Air flow effects; air flows; Applied (CO); Building assemblies; building enclosures; Building sectors; Computer modelling; Construction practices; Conventional testing methods; Dry materials; Efficient use of energy; energy performance; field conditions; Heat , air , and moisture (HAM); Hot boxes; Integrated methodology; Modeling methodologies; Moisture transfer; resistance testing; Sage Publications (CO); Steady-state thermal resistance; thermal performance; Transportation sector; Computer testing</t>
  </si>
  <si>
    <t>Bomberg M., Thorsell T., Integrated Methodology for Evaluation of Energy Performance of the Building Enclosures, Journal of Building Physics, 32, pp. 33-48, (2008); Brown W.C., Bomberg M.T., Ullet J.M., Rasmussen J., Measured Thermal Resistance of Frame Walls with Defects in the Installation of Mineral Fibre Insulation, Journal of Thermal Insulation and Building Envelopes, 16, pp. 318-339, (1993)</t>
  </si>
  <si>
    <t>2-s2.0-46249102898</t>
  </si>
  <si>
    <t>Younes C.; Abi Shdid C.</t>
  </si>
  <si>
    <t>A methodology for 3-D multiphysics CFD simulation of air leakage in building envelopes</t>
  </si>
  <si>
    <t>65</t>
  </si>
  <si>
    <t>10.1016/j.enbuild.2013.05.050</t>
  </si>
  <si>
    <t>https://www.scopus.com/inward/record.uri?eid=2-s2.0-84880054095&amp;doi=10.1016%2fj.enbuild.2013.05.050&amp;partnerID=40&amp;md5=1c8c032081bca8f3bba5a10a8a519e9f</t>
  </si>
  <si>
    <t>Air leaks into a building through various openings and cracks in the building envelope. This leakage affects indoor air quality, human comfort and, primarily, building energy consumption. Several experimental studies have estimated this energy impact to exceed 40% of the heating and cooling costs in buildings. Current methods for evaluating air leakage range from simple air change methods to multizone coupled methods. These vary between being overly simplified to complex sets of equations that utilize hard-to-obtain, often assumed, factors and coefficients. Some CFD simulations have also been attempted. They only consider a small portion of 2-D wall sections with a single predefined air flow path. A modeling methodology is developed in this work that represents a roadmap for performing full 3-D envelope multiphysics hygrothermal simulations for air leakage in buildings. The methodology realistically depicts the various cracks common in an envelope in terms of shape, location, and quantity. It also accounts for the true multiphysics nature of the problem and for various hourly weather variables. The higher accuracy expected with this methodology allows for a more accurate calculation of air leakage heat loading necessary for an efficient building energy design, and for various green and sustainable building design applications. © 2013 Elsevier B.V. All rights reserved.</t>
  </si>
  <si>
    <t>Air leakage; Building envelope; CFD; Cracks; Exfiltration; Heat recovery; Hygrothermal; Infiltration; Multiphysics</t>
  </si>
  <si>
    <t>Cracks; Energy utilization; Indoor air pollution; Infiltration; Intelligent buildings; Solar buildings; Waste heat; Waste heat utilization; Air leakage; Building envelopes; Exfiltration; Hygrothermal; Multi-physics; Computational fluid dynamics</t>
  </si>
  <si>
    <t>Younes C., Abi Shdid C., Bitsuamlak G., Air infiltration through building envelopes: A review, Journal of Building Physics, 35, 3, pp. 267-302, (2012); Buchanan C.R., Sherman M.H., A Mathematical Model for Infiltration Heat Recovery, LBNL-44294, (2000); Caffey G.E., Residential air infiltration, ASHRAE Transactions, 85, pp. 919-926, (1979); Kirkwood R.C., Fuel consumption in industrial buildings, Building Services Engineer, 45, pp. 23-31, (1977); Nevrala D.J., Etheridge D.W., Natural ventilation in well-insulated houses, Proceedings of International Centre for Heat and Mass Transfer, International Seminar, UNESCO, (1977); Persily A., Understanding Air Infiltration in Homes. Report PU/CEES #129, (1982); Sherman M., Matson N., Ventilation-energy liabilities in U.S. dwellings, Proceedings of the 14th AVIC Conference: Energy Impact of Ventilation and Air Infiltration, pp. 23-41, (1993); Chebil S., Galanis N., Zameureanu R., Computer simulation of therml impact of air infiltration through multilayered exterioir walls, Proceedings of the Eighth International IBPSA Conference, (2003); Boussa H., Tognazzi-Lawrence C., La Borderie C., A model for computation of leakage through damaged concrete structures, Cement and Concrete Composites, 23, 2-3, pp. 279-287, (2001); Danko G., Bahrami D., Heat and moisture flow simulation with multiflux, Proceedings of ASME Heat Transfer/Fluid Engineering, (2004); Buratti C., Mariani R., Moretti E., Mean age of air in a naturally ventilated office: Experimental data and simulations, Energy and Buildings, 43, pp. 2021-2027, (2011); Cheung J., Liu C., CFD simulations of natural behaviour in high-rise buildings in regular and staggered arrangements at various spacings, Energy and Buildings, 43, pp. 1149-1158, (2011); Orme M., Liddament M.W., Wilson A., Numerical Data for Air Infiltration &amp; Natural Ventilation Calculations, (1998); Orme M.S., Applications of the Air Infiltration and Ventilation Centre's Numerical Database, (1994); Chapter 26. Ventilation and infiltration, 2001 ASHRAE Handbook - Fundamentals, (2001); Hopkins L.P., Hansford B., Air flow through cracks, The Building Service Engineer, 42, pp. 123-131, (1974); Liu D.L., Nazaroff W.W., Modeling pollutant penetration across building envelopes, Atmospheric Environment, 35, pp. 4451-4462, (2001); Liu D.L., Air Pollutant Penetration Through Airflow Leaks into Building, (2002); Sherman M., McWilliams J., Air Leakage of U.S. Homes: Model Prediction. Lawrence Berkeley National Laboratory Report LBNL-62078, (2007); Academic Research A., Release 14.0, Help System, (2011); Tanasic N., Jankes G., Skistad H., CFD analysis and airflow measurements to approach large industrial halls energy efficiency: A case study of a cardboard mill hall, Energy and Buildings, 43, pp. 1200-1206, (2011); Mak C.M., Niu J.L., Lee C.T., Chan K.F., A numerical simulation of wing walls using computational fluid dynamics, Energy and Buildings, 39, 9, pp. 995-1002, (2007); Motlagh A.H., Hashemabadi S.H., 3D CFD simulation and experimental validation of particle-to-fluid heat transfer in a randomly packed bed of cylindrical particles, International Communications in Heat and Mass Transfer, 35, 9, pp. 1183-1189, (2008); Gartmann A., Muller M., Vogt R., Comparison of CFD results with experimental data within a street canyon: The influence of averaging time, Proceedings of the 7th International Conference on Urban Climate, (2009); Talukdar P., Iskra C.R., Simonson C.J., Combined heat and mass transfer for laminar flow of moist air in a 3D rectangular duct: CFD simulation and validation with experimental data, International Journal of Heat and Mass Transfer, 51, 11-12, pp. 3091-3102, (2008); Chen Q., Srebric J., A procedure for verification, validation, and reporting of indoor environment CFD analyses, HVAC and R Research, 8, 2, pp. 201-216, (2002); Nabinger S., Persily A., Impacts of airtightening retrofits on ventilation rates and energy consumption in a manufactured home, Energy and Buildings, 43, pp. 3059-3067, (2011)</t>
  </si>
  <si>
    <t>2-s2.0-84880054095</t>
  </si>
  <si>
    <t>Stelzmann M.; Nusser B.; Möller U.</t>
  </si>
  <si>
    <t>Field test on two interior insulation systems with large thickness—influence of orientation and airtightness</t>
  </si>
  <si>
    <t>https://www.scopus.com/inward/record.uri?eid=2-s2.0-85053660978&amp;partnerID=40&amp;md5=4e6558e5dc93e9577cf453e41deadecb</t>
  </si>
  <si>
    <t>From the hygrothermal point of view, exterior insulation finishing systems (EIFS) are the preferred way to retrofit old buildings. However, in some cases EIFS are not possible to apply (e.g., for historic buildings, individual flats, or technical reasons). An interior insulation can be applied in such cases. Due to the dew-point shift and changed drying capacity of the wall, this might result in moisture and durability problems. There are different kinds of interior insulation systems and each one has its own way of moisture management. In this paper, the hygrothermal behavior of two different interior insulation systems with moderate vapor permeability and large insulation thickness will be discussed. A 200 mm EPS (expanded polystyrene) system and a 160 mm mineral wool system were monitored during a 18-month field test. Each system had been wall mounted on hollow block concrete masonry with orientation to South, West, and North. Temperature and relative humidity were monitored between interior insulation and the outer wall. The moisture content of the old plaster as well as the heat flux was measured. To test the impact of air leakage in the air barrier of the mineral wool system two elements with different numbers and sizes of leaks were investigated. Furthermore, hygrothermal simulations were verified with the collected data. © 2016 U.S. Government.</t>
  </si>
  <si>
    <t>Heat flux; Historic preservation; Mechanical permeability; Mineral wool; Moisture; Walls (structural partitions); Wool; Yarn; EPS (expanded polystyrene); Exterior insulation finishing systems; Historic buildings; Hygrothermal behavior; Hygrothermal simulation; Insulation thickness; Moisture management; Temperature and relative humidity; Insulation</t>
  </si>
  <si>
    <t>Baumler S., Aktuelle Untersuchungen der SAINT-GOBAIN Innendämm-Systeme, Wksb – Zeitschrift Für Wärmeschutz Kälteschutz Schallschutz Brandschutz, 69, pp. 43-48, (2013); DIN EN 15026, Hygrothermal Performance of Building Components and Building Elements—Assessment of Moisture Transfer by Numerical Simulation, (2007); DIN EN ISO 6946, Building Components and Building Elements—Thermal Resistance and Thermal Transmittance—Calculation Method, (2008); DIN EN ISO 10456, Building Materials and Products—Hygrothermal Properties—Tabulated Design Values and Procedures for Determining Declared and Design Thermal Values, (2010); DIN 4108-2, Thermal Protection and Energy Economy in Buildings—Part 2: Minimum Requirements to Thermal Insulation, (2013); DIN 4108-3, Thermal Protection and Energy Economy in Buildings—Part 3: Protection Against Moisture Subject to Climate Conditions—Requirements and Directions for Design and Construction, (2014); Fox M., Straube J., Ge H., Trainor T., Field test of hygrothermal performance of highly insulated wall assemblies, 14th Canadian Conference on Building Science and Technology, (2014); Hens H., Building Physics—Heat, Air and Moisture: Fundamentals and Engineering Methods with Examples and Exercises, pp. 134-135, (2012); Moller U., Stelzmann M., In-Situ-Messgerät für die zerstörungsfreie Messung der Wasseraufnahme, 2. Internationaler Innendämmkongress Vom 12. Bis 13, pp. 188-197, (2013); Nicolai A., Grunewald J., Plagge R., Scheffler G., Development of a combined heat, moisture, and salt transport model for unsaturated porous building materials, Simulation of Time Dependent Degradation of Porous Materials, Research Report on Priority Program DFG SPP 1122, (2010); Scheffler G., Plagge R., A whole range hygric material model: Modeling liquid and vapour transport properties in porous media, Int. J. Heat Mass Transfer, (2009); Stelzmann M., Moller U., Plagge R., Water-absorption-measurement instrument for masonry façades, ETNDT6, Emerging Technologies in NonDestructive Testing, 6, (2015); Stelzmann M., Moller U., Saint-Gobain Innendämmsysteme Im Freilandversuch–Abschlussbericht, (2015); WTA Guideline 6-4, Inside Insulation According to WTA I: Plenary Guide, (2009); WTA Guideline 6-5, Interior Insulation According to WTA II: Evaluation of Internal Insulation Systems with Numerical Design Methods, (2014)</t>
  </si>
  <si>
    <t>2-s2.0-85053660978</t>
  </si>
  <si>
    <t>Steskens P.W.M.H.; Janssen H.; Rode C.</t>
  </si>
  <si>
    <t>Modeling local hygrothermal interactions</t>
  </si>
  <si>
    <t>https://www.scopus.com/inward/record.uri?eid=2-s2.0-84926522300&amp;partnerID=40&amp;md5=cc038a94ece7ac45412fda437898b025</t>
  </si>
  <si>
    <t>Researchers are currently striving to advance possibilities for calculating the integrated phenomena of heat, air, and moisture (HAM) flows in buildings, while including the interactions that take place between the various building materials, components, and room air. Coupled HAM building simulation models have been developed by coupling numerical models that describe the airflow in the rooms of a building with HAM building component models. Computational fluid dynamics (CFD) models have been used to model the local indoor environmental conditions and convective surface transfer coefficients. As an alternative to the use of CFD models, which are strongly limited by computer capacity, the applicability of subzonal airflow models for transient HAM building simulations has been investigated. This paper presents the modeling of the local indoor environmental conditions and convective surface transfer coefficients, focusing on prediction of the local interior surface heat and moisture transfer coefficients. The research showed that the developed model gives good agreement with the local convective surface transfer coefficients predicted from CFD. The main advantage of the presented subzonal airflow model is that the computational effort is relatively small, while predictions of the local surface transfer coefficients can be relatively accurate. © 2010 ASHRAE.</t>
  </si>
  <si>
    <t>Buildings; Computational fluid dynamics; Moisture control; Building simulation; Building simulation model; Computational effort; Environmental conditions; Heat , air , and moistures; Heat and moisture transfer; Hygrothermal interactions; Sub-zonal airflow models; Computer simulation</t>
  </si>
  <si>
    <t>Allard F., Brau J., Inard C., Pallier J.M., Thermal experiments of full-scale dwelling cells in artificial climatic conditions, Energy and Buildings, 10, pp. 49-58, (1987); Beausoleil-Morrison I., The Adaptive Coupling of Heat and Air Flow Modeling Within Dynamic Whole-building Simulation, (2000); Bohn M.S., Kirkpatrik A.T., Olson D.A., Experimental study of three-dimensional natural convection and high Rayleigh numbers, ASME Trans J Heat Transfer, 106, pp. 339-384, (1984); Chilton T.H., Colburn A.P., Mass transfer (absorption) coefficients, Industrial and Engineering Chemistry, 26, pp. 1183-1187, (1934); Inard C., Bouia H., Dalicieux P., Prediction of air temperature distribution in buildings with a zonal model, Energy Build, 24, pp. 125-132, (1996); Khalifa A.N., Natural convective heat transfer coefficient-A review: Part I, Isolated vertical and horizontal surfaces, Energy Conversion and Management, 42, pp. 491-504, (2001); Megri A.C., Haghighat F., Zonal modeling for simulating indoor environment of buildings: Review, recent developments, and applications, HVAC&amp;R Research, 13, (2007); Mendonca K.C., Modelisation Thermo-hydro-aeraulique des Locaux Climatises Selon l'Approche Zonale, (2004); Mora L., Gadgil J., Wurtz E., Comparing zonal and CFD model predictions of isothermal indoor airflows to experimental data, Indoor Air, 13, pp. 77-85, (2003); Mortensen L.H., Hygrothermal Microclimate on Interior Surfaces of the Building Envelope, (2007); Nicolai A., Grunewald J., CHAMPS-BES Program for Coupled Heat, Air, Moisture and Pollutant Simulations in Building Envelope Systems User Manual, (2006); Rajaratnam N., Turbulent Jets, (1976); Schlichting H., Gersten K., Boundary Layer Theory, (2003); Steeman H.J., Modelling Local Hygrothermal Interaction between Airflow and Porous Materials for Building Applications, (2008); Steskens P.W.M.H., Modelling of the Hygrothermal Interactions between the Indoor Environment and the Building Envelope, (2009); Stewart J., Ren Z., COwZ-A subzonal indoor airflow, temperature and contaminant dispersion model, Build. Environ, 41, pp. 1631-1648, (2006); Teshome E.J., Haghighat F., Zonal models for indoor air flow-A critical review, International Journal of Ventilation, 3, (2004); Turner B.L., Flake L.D., The experimental measurement of natural convection heat transfer in rectangular enclosures, ASME Trans, J Heat Transfer, 102, pp. 236-241, (1980); Woloszyn M., Rode C., Tools for performance simulation of heat, air and moisture conditions of whole buildings, Building Simulation, 1, pp. 5-24, (2008); Wurtz E., Mora L., Inard C., An equation-based simulation environment to investigate fast building simulation, Building and Environment, 41, pp. 1571-1583, (2006); Wurtz E., Nataf J., Winkelmann F., Two-and three-dimensional natural and mixed convection simulation using modular zonal models in buildings, Int. J. Heat Mass Transfer, 42, pp. 923-940, (1999)</t>
  </si>
  <si>
    <t>2-s2.0-84926522300</t>
  </si>
  <si>
    <t>Kalamees T.; Kurnitski J.</t>
  </si>
  <si>
    <t>Moisture convection performance of external walls and roofs</t>
  </si>
  <si>
    <t>10.1177/1744259109343502</t>
  </si>
  <si>
    <t>https://www.scopus.com/inward/record.uri?eid=2-s2.0-76449097538&amp;doi=10.1177%2f1744259109343502&amp;partnerID=40&amp;md5=6523114b0e92b91141cc54dec3c8b360</t>
  </si>
  <si>
    <t>Full-scale laboratory measurements were taken and 2D simulations were performed to determine the moisture convection performance of the joint of an external wall and an attic floor. Both the measured and simulated results showed that the building fabric is locally sensitive to exfiltration airflow as moisture convection could cause a remarkable increase in the moisture accumulation rate on the inner surface of the sheathing. The results prove that in modern houses with balanced ventilation, where the positive pressure caused by the stack effect cannot be easily controlled, it is essential to control moisture convection by good airtightness and the use of assembly solutions with improved hygrothermal performance, such as the case with mineral wool sheathing that was tested. The simulated results showed that the use of a constant moisture excess value instead of the profile did not cause any inaccuracy in the moisture content. At the same time, the use of the constant outdoor temperature over a long time period did change the hygrothermal performance, which became significantly more critical when simulated with variable outdoor temperatures. The laboratory measurement and simulation results show that in a cold climate, for the assemblies being studied with mineral wool sheathing, leakage rates of 0.1-0.2 L/(s•m) at a 10 Pa pressure difference may be used as performance criteria for moisture convection in a two-storey house with dimensioning moisture excess 4 g/m3 and a cold outdoor climate. Previous studies on the leakage characteristics show that these leakage rates are easily achievable in practice with careful workmanship.</t>
  </si>
  <si>
    <t>Air leakages; Building envelope.; Hygrothermal performance exfiltration; Moisture convection</t>
  </si>
  <si>
    <t>Atmospheric temperature; Mineral wool; Moisture determination; Pressure effects; Research laboratories; Silicate minerals; Solar buildings; Space heating; Two dimensional; Walls (structural partitions); Wool; Yarn; 2D simulations; Air leakage; Airtightness; Assembly solution; Building envelopes; Cold climate; Exfiltration; External walls; Hygrothermal performance; Inner surfaces; Laboratory measurements; Leakage rates; Moisture accumulation; Moisture contents; Outdoor climate; Outdoor temperature; Performance criterion; Positive pressure; Pressure differences; Simulated results; Stack effect; Time periods; Moisture control</t>
  </si>
  <si>
    <t>Basset M., Air Flow Resistance in Timber Frame Walls, Air Infiltration and Ventilation Centre, Moisture Workshop, 23.03.1987, (1987); Bomberg M., Onysko D.M., Heat, air and moisture control in walls of canadian houses: A review of the historic basis for current practices, J. Therm. Envelope Build. Sci., 26, pp. 3-31, (2002); Burch D.M., Tenwolde A., Computer analysis of moisture accumulation in the walls of manufactured housing, ASHRAE Transactions, 99, pp. 977-990, (1993); DIN 4108 Teil 3. Wärmeschutz im Hochbau; Klimabendingter Feuchteschults; Anforderungen und Hinweise für Planung und Ausfuührung, Deutsches Institut für Normung, (2001); Grunewald J., Nicolai A., CHAMPS-BES Program for Coupled Heat, Air Moisture and Pollutant Simulation in Building Envelope Systems, Version 1, 2006, User Manual, (2006); Hagentoft C.-E., Harderup E., Moisture conditions in a north facing wall with cellulose loose fill insulation: Constructions with and without vapor retarder and air leakage, J. Therm. Envelope Build. Sci., 19, pp. 228-243, (1996); Janssens A., Reliable Control of Interstitial Condensation in Lightweight Roof Systems, Calculation and Assessment Methods, Doctoral Dissertation, (1998); Janssens A., Hens H., Interstitial condensation due to air leakage: A sensitivity analysis, J. Therm. Envelope Build. Sci., 27, pp. 15-29, (2003); Jokisalo J., Kurnitski J., Korpi M., Kalamees T., Vinha J., Building leakage, infiltration, and energy performance analyses for finnish detached houses, Build. Environ., 44, pp. 377-387, (2009); Karagiozis A., Impact of air leakage on the thermal and moisture performance of the building envelope, Proceedings of the Air Barriers III Conference: Air Barrier Solutions for Buildings in North American Climates; Karagiozis A.N., Salonvaara M.H., Hygrothermal performance of EIFS-Clad walls: Effect of vapor diffusion and air leakage on the drying of construction moisture, ASTM Special Technical Publication, 1352, pp. 32-51, (1999); Kumaran K., Sanders C., Final Report of the IEA Annex 41 Whole Building Heat Air and Moisture Response - Subtask 3: Boundary Conditions and Whole Building HAM Analysis, (2008); Kalamees T., Korpi M., Eskola L., Kurnitski J., Vinha J., The distribution of the air leakage places and thermal bridges in finnish detached houses and apartment buildings, Proceedings of the 8th Symposium on Building Physics in the Nordic Countries; Kalamees T., Vinha J., Kurnitski J., Indoor humidity loads and moisture production in lightweight timber-frame detached houses, J. Build. Phys., 29, pp. 219-246, (2006); Kalamees T., Kurnitski J., Jokisalo J., Eskola L., Jokiranta K., Vinha J., Air pressure conditions in finnish residences, REHVA World Congress: Clima 2007 WellBeing Indoors, Proceedings of Clima 2007 WellBeing Indoors; Kalamees T., Vinha J., Estonian climate analysis for selecting moisture reference years for hygrothermal calculations, J. Therm. Envelope Build. Sci., 27, pp. 199-220, (2004); Ojanen T., Kumaran K., Effect of exfiltration on the hygrothermal behaviour of a residential wall assembly, J. Therm. Insulation Build. Environ., 19, pp. 215-227, (1996); Sandberg P.-I., Sikander E., Lufttäsfrågorna i byggprocessen - Kunskapsinventering, aboratoriemätningar och simuleringar for att kartlägga behov av tekniska lösningar och utbildning, SP Energiteknik, SP Swedish National Testing and Research Institute, SP Rapport 2004:22; Sandberg P.-I., Sikander E., Lufttäthetsfrägorna i Byggprocessen - Etapp B. Tekniska Konsekvenser Och Lönsamhetskalkyler, SP Energiteknik, SP Swedish National Testing and Research Institute, SP Report, 23, (2007); Vinha J., Valovirta I., Korpi M., Mikkila A., Kakela P., Rakennusmateriaalien Rakennusfysikaaliset Ominaisuudet Lämpötilan Ja Suhteellisen Kosteuden Funktiona (Building Physic Material Properties As A Function of Temperature and Relative Humidity), Tampere University of Technology, Department of Civil Engineering, Structural Engineering Laboratory, Research Report 129, (2005); Vinha J., Hygrothermal Performance of Timber-framed External Walls in Finnish Climatic Conditions. A Method for Determining the Sufficient Water Vapour Resistance of the Interior Lining of A Wall Assembly, (2007); Wilson A.G., Garden G.K., Moisture accumulation in walls due to air leakage, RILEM/CIB Symposium on Moisture Problems in Buildings, Vol. 1</t>
  </si>
  <si>
    <t>2-s2.0-76449097538</t>
  </si>
  <si>
    <t>Bianchi-Janetti M.; Gebauer R.; Ochs F.; Feist W.</t>
  </si>
  <si>
    <t>Numerical model for investigation of drying insulating-layers in floating floor screeds; [Modell zur numerischen Untersuchung der Trocknung in Estrichdämmschichten]</t>
  </si>
  <si>
    <t>10.1002/bapi.201710017</t>
  </si>
  <si>
    <t>https://www.scopus.com/inward/record.uri?eid=2-s2.0-85016991485&amp;doi=10.1002%2fbapi.201710017&amp;partnerID=40&amp;md5=0c90258173f634e90ceb4da6610c6be6</t>
  </si>
  <si>
    <t>Numerical model for investigation of drying insulating-layers in floating floor screeds. Floors of heated residential buildings in German-speaking countries are generally composed by an insulating layer superimposed with floating floor screeds. An additional watertight layer is rarely applied above the screeds. In case leakages occur over an unsealed floor, water may penetrate the screeds and be retained in the insulating layer. The standard procedure used in these cases in order to dry the construction consists of induce an air stream through the insulating layer by means of a compressor, (i. e. technical drying). Until now, such procedure has been described only in a purely empirical way. A leak of knowledge about the physical process characterizing the technical drying, usually leads to an underestimation of the drying times. In this study a numerical model for numerical simulation of the drying behavior is proposed. This model allows an accurate determination of sufficient drying time, considering the local hygrothermal conditions, the material properties of the insulation, the geometry and the volume flow of the used compressor. Copyright © 2017 Ernst &amp; Sohn Verlag für Architektur und technische Wissenschaften GmbH &amp; Co. KG, Berlin</t>
  </si>
  <si>
    <t>Gebauer R., Bianchi-Janetti M., Ochs F., Feist W., Kirchmair M., Bauphysik; van Schijndel A.W.M., Build. Simul.; Bianchi Janetti M., Ochs F., Feist W., Numerical Quality of a Model for Coupled Heat and Moisture Transport in COMSOL Multiphysics. Contributions to Building Physics, 2nd Central European Symposium on Building Physics CESBP, 09–11 Sep.; Alduchov O.A., Eskridge R.E., J. Appl. Meteor.; Stankevicius V., Paukstys V., Bliudzius R., Sadauskiene J., Turskis Z., Samajauskas R., J. of Civil Engineering and Management; Jerman M., Cerny R., Energy and Buildings; Nield D.A., Bejan A., Convection in Porous Media</t>
  </si>
  <si>
    <t>2-s2.0-85016991485</t>
  </si>
  <si>
    <t>1509 STP</t>
  </si>
  <si>
    <t>10.1520/stp48942s</t>
  </si>
  <si>
    <t>https://www.scopus.com/inward/record.uri?eid=2-s2.0-77952532602&amp;doi=10.1520%2fstp48942s&amp;partnerID=40&amp;md5=7287fa5771a75cfb731450fa652ca8b4</t>
  </si>
  <si>
    <t>Building materials; Computer aided software engineering; Moisture; Solar buildings; Ventilation; Air convection; Hygrothermal analysis; Hygrothermal performance; Moisture performance; Moisture transport; Predictive capabilities; Simulations; WETTING AND DRYING; Walls (structural partitions)</t>
  </si>
  <si>
    <t>Karagiozis A.N., Lstiburek J., Desjarlais A.O., Scientific analysis of vapor retarder recommendations for wall systems constructed in the north america, Thermal Performance of the Exterior Envelopes of Whole Buildings X International Conference, (2007); Karagiozis A.N., Developing innovative wall systems that improve hygrothermal performance of residential buildings, part B, Report No. NETL DE-FC26-02NT41498, (2007); Lstiburek J., IECC submission on vapor retarders, Personal Communication, (2007); Salonvaara M.H., Karagiozis A.N., Pazera M., Miller W., Air cavities behind claddings - What have we learned?, Thermal Performance of the Exterior Envelopes of Whole Buildings Tenth International Conference, (2007); Straube J.F., Burnett E.F.P., Drainage, ventilation drying and enclosure performance, Thermal Performance of the Exterior Envelopes of Buildings VII, (1998); Salonvaara M.H., Ojanen T., Kokko E., Karagiozis A.N., Drying capabilities of wood frame walls with wood siding, Thermal Performance of the Exterior Envelopes of Buildings VII, pp. 165-177, (1998); Hansen M., Nicolajsen A., Stang B., On the influence of ventilation on moisture content in timber framed walls, Building Physics-Sixth Nordic Symposium, (2002); Tenwolde A., Carll C.G., Effect of cavity ventilation on moisture in walls and roofs, Proceedings of the Thermal Performance of the Exterior Envelopes of Buildings v, pp. 555-562, (1992); Hens H., Bouwfysica 1: Warme-En Massatransport, (1992); Van Straaten R., Ventilation of enclosure wall assemblies, M.A.Sc. Thesis, (2004); Stovall T.K., Karagiozis A.N., Airflow in the ventilation space behind a rain screen wall, Exterior Envelopes of Whole Buildings Ninth International Conference, (2004); Straube J.F., Vanstraaten R., Burnett E.F., Schumacher C., Review of literature and theory, Report No. 1, ASHRAE 1091 Report, (2004); Burnett E., Straube J., Karagiozis A., Synthesis report and guidelines, ASHRAE TRP-1091 Report No. 12, (2004); Schwarz B., Witterungsbeansphruchung von hochhausfassaden, HLH, 24, 12, pp. 376-384, (1973); Kuenzel H., Mayer E., Untersuchung Ilber Die Notwendige Hinterlilftung An Aufienwandbekeidung Aus Groβformatigen Bauteilen, (1983); Uvslokk S., The importance of wind barriers for insulated wood frame constructions, Proceedings of the Symposium and Day of Building Physics, (1987); Popp W., Mayer E., Kuenzel H., Untersuchungen iiber die beluftung des luftraumes hinter vorgesetzten fassadenbekleidung aus kleinformatigen el-ementen, Forschungsbericht B Ho 22/80, (1980); Straube J.F., Burnett E.F.P., Vents, ventilation drying, and pressure moderation, Building Engineering Group Report for Canada Mortgage and Housing Corporation, (1995); Kuenzel H.M., Simultaneous Heat and Moisture Transport in Building Components-One- And Two-Dimensional Calculation Using Simple Parameters, (1995); Karagiozis A., Kuenzel H.M., Holm A., WUFI ORNL/IBP-a north American hygrothermal model, Performance of Exterior Envelopes of Whole Buildings VIII, (2001); Tichy R., Murray C., Developing innovative wall systems that improve hygrothermal performance of residential buildings progress report, part A, Report No. NETL DE-FC26-02NT41498, (2007); Criteria for Moisture Control Design Analysis in Buildings</t>
  </si>
  <si>
    <t>2-s2.0-77952532602</t>
  </si>
  <si>
    <t>91</t>
  </si>
  <si>
    <t>Janssens A.; Hens H.</t>
  </si>
  <si>
    <t>Effects of wind on the transmission heat loss in duo-pitched insulated roofs: A field study</t>
  </si>
  <si>
    <t>10.1016/j.enbuild.2006.10.016</t>
  </si>
  <si>
    <t>https://www.scopus.com/inward/record.uri?eid=2-s2.0-34347211421&amp;doi=10.1016%2fj.enbuild.2006.10.016&amp;partnerID=40&amp;md5=936387cb7fc13d54aa73928b11d5affe</t>
  </si>
  <si>
    <t>This article presents measuring results of the thermal performance of duo-pitched tiled woodframe roof designs. The roofs have been monitored in a test building, exposed to the outside climate. The experiment was part of a programme to study the hygrothermal performance of highly insulated envelope parts in situ, in order to investigate whether a good thermal quality (U = 0.2 W/(m2 K)) is achievable with current residential construction practices in Belgium. The results show the effect of wind on the thermal performance of duo-pitched roofs. The measured thermal properties of the roof components are compared to the design values, and related to the wind speeds and directions registered near the test building. The established thermal effects are explained using tracer gas tests to show the pattern of wind driven air flow in the roofs. © 2006 Elsevier B.V. All rights reserved.</t>
  </si>
  <si>
    <t>Convection; Field study; Thermal transmittance; Tracer gas; Wind washing</t>
  </si>
  <si>
    <t>Insulating materials; Radioactive tracers; Roofs; Wind effects; Wooden construction; Field study; Thermal transmittance; Tracer gas; Wind washing; Heat losses</t>
  </si>
  <si>
    <t>Papadopoulos A.M., State of the art in thermal insulation materials and aims for future developments, Energy and Buildings, 37, pp. 77-86, (2005); Bankvall C.G., Natural convection in vertical permeable space, Wärme- und Stoffübertragung, 7, pp. 22-30, (1974); Powell F., Krarti M., Tuluca A., Air movement influence on the effective thermal resistance of porous insulations: a literature survey, Journal of Thermal Insulation, 12, pp. 239-251, (1989); Silberstein A., Langlais C., Arquis E., Natural convection in light fibrous insulating materials with permeable interfaces: onset criteria and its effect on the thermal performances of the product, Journal of Thermal Insulation, 14, pp. 22-42, (1990); Trethowen H.A., Sensitivity of insulated wall and ceiling cavities to workmanship, Journal of Thermal Insulation, 15, pp. 172-179, (1991); Timusk J., Seskus A.L., Ary N., The control of wind cooling of wood frame building enclosures, Journal of Thermal Insulation, 15, pp. 8-19, (1991); Uvslokk S., The importance of wind barriers for insulated timber frame constructions, Journal of Thermal Insulation and Building Envelopes, 20, pp. 40-62, (1996); Ojanen T., Criteria for the hygrothermal performance of wind barrier structures, Proceedings of the third Symposium on Building Physics in the Nordic Countries, pp. 643-652, (1993); Hens H., Janssens A., Zheng R., Zinc roofs: an evaluation based on test house measurements, Building and Environment, 38-6, pp. 795-806, (2003); Janssens A., Systems for condensation control, Polymers in Construction, pp. 97-114, (2005); Hens H., Janssens A., Cathedral ceilings: a test building evaluation in a cool humid climate, Performance of exterior envelopes of whole buildings IX International Conference Proceedings, CD-ROM, (2004); Hens H., Janssens A., Depraetere W., Hygrothermal performance of masonry cavity walls with very low U-factor: a test house evaluation, Performance of the exterior envelopes of whole buildings, VIII International Conference Proceedings, CD-ROM, (2001); Zheng R., Janssens A., Carmeliet J., Bogaerts W., Hens H., An evaluation of highly insulated cold zinc roofs in a moderate humid region-part I: hygrothermal performance, Construction and Building Materials, 18-1, pp. 49-59, (2004); Saelens D., Roels S., Hens H., The inlet temperature as a boundary condition for multiple-skin facade modelling, Energy and Buildings, 36, pp. 825-835, (2004)</t>
  </si>
  <si>
    <t>2-s2.0-34347211421</t>
  </si>
  <si>
    <t>Harreither C.; Krainz L.; Weissinger J.; Bednar T.</t>
  </si>
  <si>
    <t>Experimental determination of the influence of installing fibrous insulation materials in timber frames on the air permeability and convective air transport</t>
  </si>
  <si>
    <t>10.1016/j.egypro.2015.11.618</t>
  </si>
  <si>
    <t>https://www.scopus.com/inward/record.uri?eid=2-s2.0-84962544870&amp;doi=10.1016%2fj.egypro.2015.11.618&amp;partnerID=40&amp;md5=d10b3445837aebbc4b9c6c8b6ca3758d</t>
  </si>
  <si>
    <t>More than 300 samples of mineral wool were tested in this study. Air flowed through circular specimen in an adaptive testing facility. Six differently sized test vessels were filled with three differently sized samples each. Like in a real building situation, there was no additional sealing between the insulation material and the test vessel. Current available standards are not sufficient for the determination of airflow resistance of fibrous insulation materials in practical application. Convection around the insulation material does appear but is not considered at the moment, neither in the determination of material parameters nor in hygrothermal calculations. © 2015 The Authors.</t>
  </si>
  <si>
    <t>Air flow resistance; Air permeability; Convection; Fibrous insulation; Mineral wool; Timber frame</t>
  </si>
  <si>
    <t>Air permeability; Heat convection; Insulating materials; Mineral wool; Permafrost; Timber; Wool; Yarn; Adaptive testing; Air transport; Airflow resistance; Experimental determination; Fibrous insulation; Insulation materials; Material parameter; Timber frames; Insulation</t>
  </si>
  <si>
    <t>Acoustics. Materials for Acoustical Applications. Determination of Air-flow Resistance. (ISO 9053: 1991), (1993); Polymeric Materials, Cellular Flexible - Determination of Air Flow Permeability (ISO 4638: 1984), (1995); Hens H., Luft-Winddichtigkeit von geneigten Dächern - Wie sie sich wirklich verhalten, Bauphysik, 14, 6, pp. 161-174, (1992); Nusser B., Flachgeneigte Hölzerne Dachkonstruktionen. Systemanalysen und Neue Ansätze zur Planung Hygrisch Robuster Flachgeneigter Hölzerner Dachkonstruktionen Unter Beachtung Konvektiver Feuchteeinträge und Temporärer Beschattungssituationen, (2012); Thermal Performance of Buildings - Air Permeability of Building Components and Building Elements - Laboratory Test Method, (2000); Thermal Insulation Products for Buildings - Factory Made Mineral Wool (MW) Products - Specification, (2012); Entwurf. Thermal Insulation and Energy Economy in Buildings - Part 10: Application-related Rquirements for Thermal Insulation Materials - Factory Made Products, (2015); Factory Made Materials for Thermal And/Or Acoustic Insulation in Building Construction - Types, Application and Minimum Requirements, (2013)</t>
  </si>
  <si>
    <t>2-s2.0-84962544870</t>
  </si>
  <si>
    <t>Montazeri H.; Blocken B.; Derome D.; Carmeliet J.; Hensen J.L.M.</t>
  </si>
  <si>
    <t>CFD analysis of forced convective heat transfer coefficients at windward building facades: Influence of building geometry</t>
  </si>
  <si>
    <t>Journal of Wind Engineering and Industrial Aerodynamics</t>
  </si>
  <si>
    <t>10.1016/j.jweia.2015.07.007</t>
  </si>
  <si>
    <t>https://www.scopus.com/inward/record.uri?eid=2-s2.0-84942018706&amp;doi=10.1016%2fj.jweia.2015.07.007&amp;partnerID=40&amp;md5=9e390e8ae0f398bba9bf19a641cf0462</t>
  </si>
  <si>
    <t>Knowledge of the convective heat transfer coefficient (CHTC) for external building surfaces is essential for analysis of building heat gains and losses and hygrothermal analysis of building components. The CHTC is influenced by a wide range of parameters. Previous studies analysed the influence of position on the building facade, roughness, wind speed, wind direction, local airflow pattern and surface-to-air temperature differences. Among methods, Computational Fluid Dynamics (CFD) is a useful tool to determine the distribution of the CHTC across building facades as a function of the governing parameters. However, to the best of our knowledge, research on the influence of building size and geometry on the CHTC is very limited. Therefore this paper presents high-resolution 3D steady Reynolds-averaged Navier-Stokes (RANS) CFD simulations of forced convective heat transfer at the windward facade of 22 buildings of different geometry. First, a CFD validation study focused on CHTC is performed based on wind-tunnel measurements of surface temperature for a reduced-scale wall-mounted cubic obstacle. Next, the influence of building geometry on the CHTC distribution is investigated at different reference wind speeds, U10, for three groups: buildings with H≥W, buildings with H≤W and buildings with H=W. The results show that CHTC/(U100.84) is relatively insensitive to the reference wind speed. For W=10m and by increasing H from 10m to 80m, the surface-averaged CHTC/(U100.84) on the windward facade increases by about 20%. However, for H=10m, increasing the building width from 10 to 80m has the opposite impact on the surface-averaged CHTC/(U100.84), which decreases by more than 33%. For buildings with H=W, it decreases by more than 10% as H and W increase from 10 to 40m, and remains approximately constant for higher values of H(=W). The reason for these trends are explained. © 2015 Elsevier Ltd.</t>
  </si>
  <si>
    <t>Building; CHTC; Computational fluid dynamics (CFD); Conjugate heat transfer; Validation</t>
  </si>
  <si>
    <t>Buildings; Computational fluid dynamics; Facades; Geometry; Heat transfer coefficients; Navier Stokes equations; Wind; Wind tunnels; CHTC; Conjugate heat transfer; Convective heat transfer coefficients; Forced convective heat transfer; Hygrothermal analysis; Reynolds-Averaged Navier-Stokes; Validation; Wind tunnel measurements; Heat convection</t>
  </si>
  <si>
    <t>(2009); Blocken B., 50 years of computational wind engineering: past, present and future, J. Wind Eng. Ind. Aerodyn., 129, pp. 69-102, (2014); Blocken B., Carmeliet J., A review of wind-driven rain research in building science, J. Wind Eng. Ind. Aerodyn., 92, pp. 1079-1130, (2004); Blocken B., Stathopoulos T., Carmeliet J., CFD simulation of the atmospheric boundary layer: wall function problems, Atmos. Environ., 41, pp. 238-252, (2007); Blocken B., Carmeliet J., Stathopoulos T., CFD evaluation of wind speed conditions in passages between parallel buildings-effect of wall-function roughness modifications for the atmospheric boundary layer flow, J. Wind Eng. Ind. Aerodyn., 95, pp. 941-962, (2007); Blocken B., Defraeye T., Derome D., Carmeliet J., High-resolution CFD simulations for forced convective heat transfer coefficients at the facade of a low-rise building, Build. Environ., 44, pp. 2396-2412, (2009); Blocken B., Dezso G., van Beeck J., Carmeliet J., Comparison of calculation models for wind-driven rain deposition on building facades, Atmos. Environ., 44, pp. 1714-1725, (2010); Blocken B., Computational Fluid Dynamics for urban physics: Importance, scales, possibilities, limitations and ten tips and tricks towards accurate and reliable simulations, Build. Environ., 91, pp. 219-245, (2015); Chyu M.K., Natarajan V., Local heat/mass transfer distributions on the surface of a wall-mounted cube, Trans. ASME J. Heat Transf., 113, pp. 851-857, (1991); Cole R.J., Sturrock N.S., The convective heat exchange at the external surface of buildings, Build. Environ., 12, pp. 207-214, (1977); Crawley D.B., Hand J.W., Kummert M., Griffith B.T., Contrasting the capabilities of building energy performance simulation programs, Build. Environ., 43, pp. 661-673, (2008); Defraeye T., Blocken B., Carmeliet J., CFD analysis of convective heat transfer at the surfaces of a cube immersed in a turbulent boundary layer, Int. J. Heat Mass Transf., 53, pp. 297-308, (2010); Defraeye T., Blocken B., Carmeliet J., Convective heat transfer coefficients for exterior building surfaces: Existing correlations and CFD modelling, Energy Convers. Manag., 52, pp. 512-522, (2011); Emmel M.G., Abadie M.O., Mendes N., New external convective heat transfer coefficient correlations for isolated low-rise buildings, Energy Build., 39, pp. 335-342, (2007); Fox R.W., McDonald A.T., Pritchard P.J., Introduction to Fluid Mechanics, 2, (1998); Franke J., Hellsten A., Schlunzen H., Carissimo B., Best practice guideline for the CFD simulation of flows in the urban environment. COST action 732: quality assurance and improvement of microscale meteorological models., (2007); Hall C., Hoff W.D., Water Transport in Brick, Stone and Concrete, (2011); Hens H.S., Building Physics - Heat Air and Moisture: Fundamentals and Engineering Methods with Examples and Exercises, (2012); Hens H.S., Heat, Air and Moisture Transfer in Insulated Envelope Parts: Task 1, Modelling, (1996); Iacovides H., Launder B.E., Computational fluid dynamics applied to internal gas-turbine blade cooling: a review, Int. J. Heat Fluid Flow, 16, pp. 454-470, (1995); Ito N., Kimura K., Oka J., Field experiment study on the convective heat transfer coefficient on exterior surface of a building, ASHRAE Trans., 78, pp. 184-192, (1972); Jurges W., Der Wärmeübergang an einer ebenen Wand, (1924); Janssen H., Blocken B., Carmeliet J., Conservative modelling of the moisture and heat transfer in building components under atmospheric excitation, Int. J. Heat Mass Transf., 50, pp. 1128-1140, (2007); Jayamaha S.E.G., Wijeysundera N.E., Chou S.K., Measurement of the heat transfer coefficient for walls, Build. Environ., 31, pp. 399-407, (1996); Kunzel H.M., Kiessl K., Calculation of heat and moisture transfer in exposed building components, Int. J. Heat Mass Transf., 40, pp. 159-167, (1996); Kelnhofer W.J., Thomas C.J., External convective heat transfer coefficients on a building model, (1976); Liu J., Srebric J., Yu N., Numerical simulation of convective heat transfer coefficients at the external surfaces of building arrays immersed in a turbulent boundary layer, Int. J. Heat Mass Transf., 61, pp. 209-225, (2013); Liu Y., Harris D.J., Full-scale measurements of convective coefficient on external surface of a low-rise building in sheltered conditions, Build. Environ., 42, pp. 2718-2736, (2007); Loveday D.L., Taki A.H., Convective heat transfer coefficients at a plane surface on a full-scale building facade, Int. J. Heat Mass Transf., 39, pp. 1729-1742, (1996); Meinders E.R., Hanjalic K., Martinuzzi R.J., Experimental study of the local convection heat transfer from a wall-mounted cube in turbulent channel flow, Trans. ASME J. Heat Transf., 121, pp. 564-573, (1999); Meinders E.R., Experimental Study of Heat Transfer in Turbulent Flows Over Wall Mounted Cubes (Ph.D. Thesis), (1998); Meroney R.N., Studying the convective heat transfer from a building model with infrared camera techniques, (1978); Mirsadeghi M., Costola D., Blocken B., Hensen J.L.M., Review of external convective heat transfer coefficient models in building energy simulation programs: implementation and uncertainty, Appl. Therm. Eng., 56, pp. 134-151, (2013); Montazeri H., Blocken B., CFD simulation of wind-induced pressure coefficients on buildings with and without balconies: validation and sensitivity analysis, Build. Environ., 60, pp. 137-149, (2013); Montazeri H., Blocken B., Hensen J.L.M., Evaporative cooling by water spray systems: CFD simulation, experimental validation and sensitivity analysis, Build. Environ., 83, pp. 129-141, (2015); Montazeri H., Blocken B., Hensen J.L.M., CFD analysis of the impact of physical parameters on evaporative cooling by a mist spray system, Appl. Therm. Eng., 75, pp. 608-622, (2015); Montazeri H., Blocken B., Janssen W.D., van Hooff T., CFD evaluation of new second-skin facade concept for wind comfort on building balconies: case study for the Park Tower in Antwerp, Build. Environ., 68, pp. 179-192, (2013); Murakami S., Comparison of various turbulence models applied to a bluff body, J. Wind Eng. Ind. Aerodyn., 46, pp. 21-36, (1993); Nakamura H., Igarashi T., Tsutsui T., Local heat transfer around a wall-mounted cube in the turbulent boundary layer, Int. J. Heat Mass Transf., 44, pp. 3385-3395, (2001); Natarajan V., Chyu M.K., Effect of flow angle-of-attack on the local heat/mass transfer from a wall-mounted cube, Trans. ASME J. Heat Transf., 116, pp. 552-560, (1994); Niceno B., Dronkers A.D., Hanjalic K., Turbulent heat transfer from a multi-layered wall-mounted cube matrix: a large eddy simulation, Int. J. Heat Fluid Flow, 23, pp. 173-185, (2002); Palyvos J.A., A survey of wind convection coefficient correlations for building envelope energy systems' modeling, Appl. Therm. Eng., 28, pp. 801-808, (2008); Popovac M., Hanjalic K., Vortices and heat flux around a wall-mounted cube cooled simultaneously by a jet and a crossflow, Int. J. Heat Mass Transf., 52, pp. 4047-4062, (2009); Richards P.J., Hoxey R.P., Appropriate boundary conditions for computational wind engineering models using the k-ε turbulence model, J. Wind Eng. Ind. Aerodyn., 46, pp. 145-153, (1993); Rodi W., Comparison of LES and RANS calculations of the flow around bluff bodies, J. Wind Eng. Ind. Aerodyn., 69, pp. 55-75, (1997); Sharples S., Full-scale measurements of convective energy losses from exterior building surfaces, Build. Environ., 19, pp. 31-39, (1984); Shih T.-H., Liou W.W., Shabbir A., Yang Z., Zhu J., A new k-ε eddy viscosity model for high reynolds number turbulent flows, Comput. Fluids, 24, pp. 227-238, (1995); Sparrow E.M., Ramsey J.W., Mass E.A., Effect of finite width on heat transfer and fluid flow about an inclined rectangular plate, J. Heat Transf., 101, pp. 199-204, (1979); Tominaga Y., Mochida A., Murakami S., Sawaki S., Comparison of various revised k-ε models and LES applied to flow around a high-rise building model with 1:1:2 shape placed within the surface boundary layer, J. Wind Eng. Ind. Aerodyn., 96, pp. 389-411, (2008); Tominaga Y., Mochida A., Yoshie R., Kataoka H., Nozu T., Yoshikawa M., Et al., AIJ guidelines for practical applications of CFD to pedestrian wind environment around buildings, J. Wind Eng. Ind. Aerodyn., 96, pp. 1749-1761, (2008); Van Hooff T., Blocken B., Coupled urban wind flow and indoor natural ventilation modelling on a high-resolution grid: a case study for the Amsterdam ArenA stadium, Environ. Model. Softw., 25, pp. 51-65, (2010); Wieringa J., Updating the Davenport roughness classification, J. Wind Eng. Ind. Aerodyn., 41, pp. 357-368, (1992); Wolfshtein M., The velocity and temperature distribution in one-dimensional flow with turbulence augmentation and pressure gradient, Int. J. Heat Mass Transf., 12, pp. 301-318, (1969)</t>
  </si>
  <si>
    <t>2-s2.0-84942018706</t>
  </si>
  <si>
    <t>Langmans J.; Roels S.</t>
  </si>
  <si>
    <t>What are the hygrothermal consequences of applying exterior air barriers in timber frame construction in Europe?</t>
  </si>
  <si>
    <t>10.1080/19401493.2014.899733</t>
  </si>
  <si>
    <t>https://www.scopus.com/inward/record.uri?eid=2-s2.0-84926246720&amp;doi=10.1080%2f19401493.2014.899733&amp;partnerID=40&amp;md5=58b90c42fbbcefc4b3dd49a79c8fb0bc</t>
  </si>
  <si>
    <t>Moisture-induced damage is one of the major causes of degradations and reduced thermal performance in wood frame buildings. It is therefore crucial to incorporate the hygrothermal assessment of new timber frame building envelopes systems from the early development phase onwards. The article at hand presents the simulation results studying the hygrothermal performance of various timber frame wall configurations with exterior air barrier systems. A parameter analysis explores the impact of different European climates, insulation materials, exterior air barrier materials and verifies in addition to the impact of bad workmanship in the installation of the insulation layer. This study reveals that the application of mineral wool (MW) insulated timber frame walls in combination with exterior air barriers results in increased moisture loads. Moreover, small air gap channels between the MW and the adjacent exterior air barrier significantly increase natural convection and add up to harmful moisture levels. Yet the simulations indicate that the use of blown-in cellulose insulation can avoid these issues. The study further indicates that the technique of exterior air barrier is more suitable for continental climates rather than for moderate sea climates in Europe. © 2014, International Building Performance Simulation Association (IBPSA).</t>
  </si>
  <si>
    <t>air convection; building component; exterior air barrier; HAM; numerical simulation</t>
  </si>
  <si>
    <t>Building components; Computer simulation; Insulating materials; Insulation; Mineral wool; Moisture; Timber; Air convection; Cellulose insulation; Continental climate; Exterior air barriers; Hygrothermal performance; Insulation materials; Moisture-induced damage; Timber frame construction; Walls (structural partitions)</t>
  </si>
  <si>
    <t>Aho H., Vinha J., Korpi M., Implementation of Airtight Constructions and Joints in Residential Buildings, (2008); Black C.D., Mould Resistance of Full Scale Wood Frame, (2006); Bories S., Natural Convection in Porous Media, Advances in Transport Phenomena in Porous Media, 128. edited by, pp. 77-141, (1987); Brown W.C., Bomberg M.T., Ullett J.M., Rasmussen J., Measured Thermal Resistance of Frame Walls with Defects in the Installation of Mineral Fibre Insulation, Journal of Building Physics, 16, 4, pp. 318-339, (1993); Derome D., Moisture Accumulation in Cellulose Insulation Caused by Air Leakage in Flat Wood Frame Roofs, Journal of Thermal Envelope and Building Science, 28, 3, pp. 269-287, (2005); Desta T.Z., Langmans J., Roels S., Experimental Data Set for Validation of Heat, Air and Moisture Transport Models of Building Envelopes, Building and Environment, 46, 5, pp. 1038-1046, (2011); Geving S., Karagiozis A., Salonvaara M., Measurements and Two-dimensional Computer Simulations of the Hygrothermal Performance of a Wood Frame Wall, Journal of Building Physics, 20, 4, pp. 301-319, (1997); Grunewald J., Diffusive and Convective Mass and Energy Transport in Capillary Porous Building Materials, (1997); Hagentoft C.E., Forced and Natural Convection Coupled with Heat Conduction in Walls with Air Gaps, (1991); Hagentoft C.-E., HAMSTAD: WP2: Benchmark Package.” Technical Report, (2002); Hagentoft C.-E., Harderup E., Reference Years for Moisture Calculations, (1993); Hens H., Applied Building Physics: Boundary Conditions, Building Performance and Material Properties, (2010); Holos S.B., Relander T.-O., Airtightness Measurements of Wood Frame Low Energy Row Houses, pp. 1-11, (2010); Hukka A., Viitanen H.A., A Mathematical Model of Mould Growth on Wooden Material, Wood Science and Technology, 33, 6, pp. 475-485, (1999); Janssen H., Thermal Performance of Highly Insulated Wood Frame Walls, (1997); Janssen H., Roels S., Qualitative and Quantitative Assessment of Interior Moisture Buffering by Enclosures, Energy and Buildings, 41, 4, pp. 382-394, (2009); Janssens A., Reliable Control of Interstitial Condensation in Lightweight Roof Systems: Calculation and Assessment Methods, (1998); Janssens A., Hygrische Studie Koud Dak Met Cellulose-isolatie, (2003); Janssens A., Hens H., Effects of Wind on the Transmission Heat Loss in Duo-pitched Insulated Roofs: A Field Study, Energy and Buildings, 39, 9, pp. 1047-1054, (2007); Jokisalo J., Kurnitski J., Korpi M., Kalamees T., Vinha J., Building Leakage, Infiltration, and Energy Performance Analyses for Finnish Detached Houses, Building and Environment, 44, 2, pp. 377-387, (2009); Kalamees T., Air Tightness and Air Leakages of New Lightweight Single-family Detached Houses in Estonia, Building and Environment, 42, 6, pp. 2369-2377, (2007); Kohonen R., Transient Analysis of the Thermal and Moisture Physical Behaviour of Building Constructions, Building and Environment, 19, 1, pp. 1-11, (1984); Kronvall J., Air Flows in Building Components, (1980); Langmans J., Feasibility of Exterior Air Barriers in Light Weight Construction, (2013); Langmans J., Klein R., Paepe M.D., Roels S., Potential of Wind Barriers to Assure Airtightness of Wood-Frame Low Energy Constructions, Energy and Buildings, 42, 12, pp. 2376-2385, (2010); Langmans J., Klein R., Roels S., Hygrothermal Risks of Using Exterior Air Barrier Systems for Highly Insulated Light Weight Walls: A Laboratory Investigation, Building and Environment, 56, 10, pp. 192-202, (2012); Langmans J., Klein R., Roels S., Numerical and Experimental Investigation of the Hygrothermal Response of Timber Frame Walls with an Exterior Air Barrier, Journal of Building Physics, 36, 4, pp. 375-397, (2013); Langmans J., Nicolai A., Klein R., Roels S., A Quasi-Steady State Implementation of Air Convection in a Transient Heat and Moisture Building Component Model, Building and Environment, 58, 12, pp. 208-218, (2012); Lecompte J., The Influence of Natural Convection on the Thermal Quality of Insulated Cavity Walls Constructions, (1989); Li Q., Rao J., Fazio P., Development of HAM Tool for Building Envelope Analysis, Building and Environment, 44, 5, pp. 1065-1073, (2009); Myhre L., Aurlien T., Measured Airtightness in Low-Energy Houses, (2005); Nicolai A., Modelling and Numerical Simulation of Salt Transport and Phase Transitions in Unsaturated Porous Building Materials, (2007); Nore K., Hygrothermal Performance of Ventilated Wooden Cladding, (2009); Okland O., Convection in Highly-insulated Building Structures, (1998); Pieckova E., Jesenska Z., Microscopic Fungi in Dwellings and Their Health Implications, Annals of Agricultural and Environmental Medicine, 6, 1, pp. 1-11, (1996); Reboux G., Bellanger A., Roussel S., Grenouilllet F., Millon L., Moulds in Dwellings: Health Risks and Involved Species, Revue des Maladies Respiratoires, 27, 2, pp. 118-121, (2010); Roels S., Talukdar P., James C., Simonson C.J., Reliability of Material Data Measurements for Hygroscopic Buffering, International Journal of Heat and Mass Transfer, 53, 23-24, pp. 5355-5363, (2010); Saeid N.H., Pop I., Transient Free Convection in a Square Cavity Filled with a Porous Medium, International Journal of Heat and Mass Transfer, 47, 8-9, pp. 1917-1924, (2004); Sedlbauer D.K., Prediction of Mould Growth on and in Building Components, (2001); Silberstein A., Hens H., Effects of Air and Moisture Flows on the Thermal Performance of Insulations in Ventilated Roofs and Walls, Journal of Building Physics, 19, 4, pp. 367-385, (1996); Stranger M., Verbeke S., Verbeke L., Geyskens F., Swinnen R., Goelen E., Taubel M., Et al., Exploratory Research on the Quality of the Indoor Environment in Energy Efficient Buildings: The Influence of Outdoor Environment and Ventilation, (2012); Swami M., Chandra S., Procedures for Calculating Natural Ventilation Airflow Rates in Buildings, (1987); Tariku F., Kumaran K., Fazio P., Transient Model for Coupled Heat, Air and Moisture Transfer Through Multilayered Porous Media, International Journal of Heat and Mass Transfer, 53, 15-16, pp. 3035-3044, (2010); Tenwolde A., Rose W.B., Moisture Control Strategies for the Building Envelope, Journal of Building Physics, 19, 3, pp. 206-214, (1996); Thue J.V., Skogstad H.B., Homb A., Wood Frame Walls in Cold Climate – Vapour Barrier Requirements, Journal of Building Physics, 20, 1, pp. 63-75, (1996); Uvslokk S., The Importance of Wind Barriers for Insulated Timber Frame Constructions, Journal of Building Physics, 20, 1, pp. 40-62, (1996); Van den Brande T., Blocken B., Roels S., Rain Water Runoff from Porous Building Facades: Implementation and Application of a First-Order Runoff Model Coupled to a HAM Model, Building and Environment, 64, 6, pp. 177-186, (2013); Vereecken E., Roels S., Review of Mould Prediction Models and Their Influence on Mould Risk Evaluation, Building and Environment, 51, 5, pp. 296-310, (2012); Vereecken E., Roels S., Janssen H., In Situ Determination of the Moisture Buffer Potential of Room Enclosures, Journal of Building Physics, 34, 3, pp. 223-246, (2011); Vinha J., Hygrothermal Performance of Timber-Framed External Walls in Finnish Climatic Conditions: A Method of Determining a Sufficient Water Vapour Resistance of the Internal Lining of a Wall Assembly, (2007); Weber J.E., The Boundary-Layer Regime for Convection in a Vertical Porous Layer, International Journal of Heat and Mass Transfer, 18, 4, pp. 569-573, (1975); Yarbrough D., Wudhapitak S., Air Permeability of Loose-Fill Residential Insulations, pp. 8-14, (1992); Zillig W., Moisture Transport in Wood Using a Multiscale Approach, (2009)</t>
  </si>
  <si>
    <t>2-s2.0-84926246720</t>
  </si>
  <si>
    <t>Belleudy C.; Kayello A.; Woloszyn M.; Ge H.</t>
  </si>
  <si>
    <t>Experimental and numerical investigations of the effects of air leakage on temperature and moisture fields in porous insulation</t>
  </si>
  <si>
    <t>94</t>
  </si>
  <si>
    <t>10.1016/j.buildenv.2015.10.009</t>
  </si>
  <si>
    <t>https://www.scopus.com/inward/record.uri?eid=2-s2.0-84945308837&amp;doi=10.1016%2fj.buildenv.2015.10.009&amp;partnerID=40&amp;md5=cdf4ee1a73c374086b1298f6a4fec264</t>
  </si>
  <si>
    <t>Air leakage through the building envelope can lead to an increase in energy consumption and to potential moisture damages. This paper investigates the impact of air leakage on the hygrothermal field in a ceiling section insulated with blown-in cellulose, and separating an attic space from a heated indoor space. This ceiling section, part of a full scale test-hut built in the Environmental Chamber of Concordia University, is tested experimentally with and without air leakage. The temperature in the cellulose is measured at different locations along the air leakage path and compared with temperature outputs from recently developed HA (Heat Air) and HAM (Heat Air Moisture) numerical models. The HAM model, which shows good agreement with experimental data, is finally used to perform an analysis of the hygrothermal field in the cellulose. The ability of this HAM model to calculate 2D-hygrothermal fields in the presence of airflow is helpful to predict consequences of poor workmanship or bad design and to move toward moisture safe buildings. © 2015 Elsevier Ltd.</t>
  </si>
  <si>
    <t>Air leakage; Building envelope; HAM model; Moisture; Porous insulation; Transient</t>
  </si>
  <si>
    <t>Buildings; Energy Consumption; Insulation; Leakage; Mathematical Models; Moisture Content; Cellulose; Energy utilization; Environmental chambers; Solar buildings; Transients; Air leakage; Attic spaces; Building envelopes; Concordia University; Full scale tests; Moisture damage; Moisture field; Numerical investigations; experimental study; insulation; leakage; moisture; porous medium; temperature; Moisture</t>
  </si>
  <si>
    <t>Jokisalo J., Kurnitski J., Korpi M., Kalamees., Vinha J., Building leakage, infiltration, and energy performance analyses for finnish detached houses, Build. Environ., 44, 2, pp. 377-387, (2009); TenWolde A., Rose W.B., Moisture control strategies for the building envelope, J. Build. Phys., 19, 3, pp. 206-214, (1996); Janssens A., Hens H., Interstitial condensation due to air leakage: a sensitivity analysis, J. Build. Phys., 27, 1, pp. 15-19, (2003); Vinha J., Manelius E., Korpi M., Salminen K., Kurnitski J., Kiviste M., Laukkarinen A., Airtightness of residential buildings in Finland, Build. Environ., 93, pp. 128-140, (2015); Kunzel H.M., Simultaneous Heat and Moisture Transport in Building Component, (1995); Grunewald J., Diffusiver und konvektiver Stoff- und Energietransport in kapillarporösen Baustoffen, (1997); Olof Mundt-Petersen S., Harderup L.-E., Predicting hygrothermal performance in cold roofs using a 1d transient heat and moisture calculation tool, Build. Environ., 90, pp. 215-231, (2015); Glaser H., Temperatur und Dampfdruckverlauf in einer homogen Wand bei Feuchteausscheiding, Kältetechnik, pp. 174-181, (1958); Desmarais G., Derome D., Fazio P., Mapping of air leakage in exterior wall assemblies, J. Therm. Envel. Build. Sci., 24, 2, pp. 132-154, (2000); Derome D., Moisture accumulation in cellulose insulation caused by air leakage in flat wood frame roofs, J. Build. Phys., 28, 3, pp. 269-287, (2005); Zerihun Desta., Langmans J., Roels S., Experimental data set for validation of heat, air and moisture transport models of building envelopes, Build. Environ., 46, 5, pp. 1038-1046, (2011); Langmans J., Nicolai A., Klein R., Roels S., A quasi-steady state implementation of air convection in a transient heat and moisture building component model, Build. Environ., 58, pp. 208-218, (2012); Moisture buffering capacity of heavy timber structures directly exposed to an indoor climate: a numerical study, Build. Environ., 40, 10, pp. 1400-1412, (2005); Osanyintola O.F., Simonson C.J., Moisture buffering capacity of hygroscopic building materials: Experimental facilities and energy impact, Energy Build., 38, 10, pp. 1270-1282, (2006); Talukdar P., Olutmayin S.O., Osanyintola O.F., Simonson C.J., An experimental data set for benchmarking 1-D, transient heat and moisture transfer models of hygroscopic building materials. Part I: experimental facility and material property data, Int. J. Heat Mass Transf., 50, 23-24, pp. 4527-4539, (2007); Talukdar P., Osanyintola O.F., Olutimayin S.O., Simonson C.J., An experimental data set for benchmarking 1-D, transient heat and moisture transfer models of hygroscopic building materials. Part II: experimental, numerical and analytical data, Int. J. Heat Mass Transf., 50, 25-26, pp. 4915-4926, (2007); Steeman M., Van Belleghem M., Janssens A., De Paepe M., Coupled simulation of heat and moisture transport in air and porous materials for the assessment of moisture related damage, Build. Environ., 44, 10, pp. 2176-2184, (2009); Van Belleghem M., Verhaert I., Janssens A., De Paepe M., Full scale validation and sensitivity analysis of a CFD-HAM model, 10th REHVA World Congress: Sustainable Energy Use in Buildings (Clima 2010), (2010); Van Belleghem M., Steeman M., Willockx A., Janssens A., De Paepe M., Benchmark experiments for moisture transfer modelling in air and porous materials, Build. Environ., 46, 4, pp. 884-898, (2011); Van Belleghem M., Steeman M., Janssen H., Janssens A., De Paepe M., Validation of a coupled heat, vapour and liquid moisture transport model for porous materials implemented in CFD, Build. Environ., 81, pp. 340-353, (2014); Zirkelbach D., Kunzel H.M., Schafaczek B., Dampfkonvektion wird berechenbar - Instationäres Modell zur Berücksichtigung von konvektivem Feuchteeintrag bei der Simulation von Leicht- baukonstruktionen, 4th International Symposium on Building and Ductwork Airtightness &amp; 30th AIVC Conference, pp. 1-8, (2009); Kunzel H.M., Modeling Air Leakage in Hygrothermal Envelope Simulation, BEST 3 Conference Atlanta, (2012); Tariku F., Kumaran K., Fazio P., Transient model for coupled heat, air and moisture transfer through multilayered porous media, Int. J. Heat Mass Transf., 53, 15-16, pp. 3035-3044, (2010); Li Q., Rao J., Fazio P., Development of HAM tool for building envelope analysis, Build. Environ., 44, 5, pp. 1065-1073, (2009); Langmans J., Feasibility of Exterior Air Barriers in Timber Frame Construction, (2013); van Schijndel A.W.M., Integrated modeling of dynamic heat, air and moisture processes in buildings and systems using SimuLink and COMSOL, Build. Simul., 2, 2, pp. 143-155, (2009); Kayello A., Fazio P., Rao J., Investigation of the Hygrothermal Performance of a SIP Test Hut with an Unventilated and Ventilated Attic for the Canadian North CCTC 2013, EIC Climate Change Technology Conference, (2013); Abadie M.O., Finlayson E.U., Gadgil A.J., Infiltration Heat Recovery in Building Walls: Computational Fluid Dynamics Investigations Results, (2002); Belleudy C., Kayello A., Woloszyn M., Ge H., Fazio P., Chhay M., Quenard D., A heat-airflow model for simulating the effects of air leakage on the temperature field in porous insulation, 10th Nordic Symposium on Building Physics, pp. 79-86, (2014); Hagentoft C.-E., Kalagasidis A.S., Adl-Zarrabi B., Roels S., Carmeliet J., Hens H., Grunewald J., Funk M., Becker R., Shamir D., Adan O., Brocken H., Kumaran K., Djebbar R., Assessment method of numerical prediction models for combined heat, air and moisture transfer in building components: benchmarks for one-dimensional cases, J. Build. Phys., 27, 4, pp. 327-352, (2004); Wahlgren P., Convection in loose-fill attic insulation-measurements and numerical simulations, Performance of Exterior Envelopes of Whole Buildings IX International Conference, Clearwater Beach, (2004); Riesner K., Wang J., Hagentoft C.-E., Georg-Wilhelm Mainka P.E., Combined heat, air, and moisture transport in loose-filled insulation - experiment and simulation, Thermal Performance of the Exterior Envelopes of Whole Buildings VIII, Florida, (2001); Langlais C., Arquis E., McCaa D.J., A theoretical and experimental study of convective effect in loose-fill thermal insulation, Insul. Mater. Test. Appl. ASTM STP, 1030, pp. 290-318, (1990); Nield D.A., Bejan A., Convection in Porous Media, (2006); Buchanan C.R., Sherman M.H., A Mathematical Model for Infiltration Heat Recovery, (2000); Kunzel H.M., Kiessl K., Calculation of heat and moisture transfer in exposed building components, Int. J. Heat Mass Transf., 40, 1, pp. 159-167, (1996); COMSOL Multiphysics User's Guide- Version 5.0, (2014); Chapter 26-Heat, air and moisture control in building assemblies - Material properties, ASHRAE Handbook of Fundamentals, (2013); Labat M., Woloszyn M., Garnier G., Roux J.J., Dynamic coupling between vapour and heat transfer in wall assemblies: analysis of measurements achieved under real climate, Build. Environ., 87, pp. 129-141, (2015); Bock A., Treml S., Engelhardt M., Long-term settlement behavior of loose-fill cellulose insulation under different types of exposure, Eur. J. Wood Wood Prod., 73, 5, pp. 705-707, (2015); Airtightness issues in the building process, Proceedings of the 7th Symposium on Building Physics in the Nordic Countries, pp. 420-427, (2005); Hens H.L.S.C., Combined heat, air, moisture modelling: a look back, how, of help?, Build. Environ., 42, 91, pp. 138-151, (2015); Janssens A., Reliable Control of Interstitial Condensation in Lightweight Roof Systems: Calculation and Assessement Methods, (1998); Abele C., Transferts d'humidité à travers les parois: Evaluer les risques de condensation, (2009); Hens H., Building Physics - Heat, Air and Moisture: Fundamentals and Engineering Methods with Examples and Exercises, (2012)</t>
  </si>
  <si>
    <t>2-s2.0-84945308837</t>
  </si>
  <si>
    <t>Bomberg M.; Thorsell T.</t>
  </si>
  <si>
    <t>Integrated methodology for evaluation of energy performance of the building enclosures - Part 1: Test program development</t>
  </si>
  <si>
    <t>10.1177/1744259108093316</t>
  </si>
  <si>
    <t>https://www.scopus.com/inward/record.uri?eid=2-s2.0-46249091366&amp;doi=10.1177%2f1744259108093316&amp;partnerID=40&amp;md5=59879ba78d3e818e78cf674d2b58d128</t>
  </si>
  <si>
    <t>As a result of increased concern with energy consumption in the industrial world, it is only natural to look towards the building sector to seek significant improvements to meet expectations of the society. After all, the building sector consumes more energy than the transportation sector. Yet, the procedures that are used to define the thermal performance of, for example a wall, are typically based on the tests performed on dry materials, without consideration of air and moisture movements. In other words, these tests represent arbitrary rating conditions because we know that the energy performance of materials and building assemblies are affected by moisture and air flows. It is believed that to improve their energy performance one must have more precise means of evaluation of their field performance that would also include the consideration of air and moisture transfer conditions. In the first part of this article a background for the evaluation of thermal performance by traditional testing with calibrated boxes shows that use of these tests is limited. The average heat flow that they measure is sufficient to rate the wall assemblies but insufficient to calculate its thermal performance under field conditions. To include the effect of climate on thermal performance one must use computer models that are capable of simultaneous calculations of heat, air, and moisture transfer. Effectively, to characterize energy performance of the building enclosure one must simultaneously use assembly testing and modeling, i.e., an integrated methodology. In the second part of the article, this integrated testing and modeling methodology is applied to a few selected residential and commercial walls to highlight the magnitude of air flow effects on the steady-state thermal resistance. The integrated methodology proposed by Syracuse University includes several other aspects of hygrothermal performance evaluations. Those aspects will be addressed in later parts of this article series. © SAGE Publications 2008.</t>
  </si>
  <si>
    <t>Air; Buildings; Computer systems; Enclosures; Energy policy; Health; Mixed convection; Moisture; Photoacoustic effect; Testing; Walls (structural partitions); (I ,J) conditions; Air flow effects; air flows; Applied (CO); Building assemblies; building enclosures; Building sectors; Computer modelling; Dry materials; Energy consumption; energy performance; field conditions; Field performance; Heat , air , and moisture (HAM); Heat flows; Hygrothermal; Integrated methodology; Modeling methodologies; Moisture transfer; Performance evaluation (PE); Sage Publications (CO); Steady-state thermal resistance; Syracuse University; test programs; thermal performance; Transportation sector; Energy conservation</t>
  </si>
  <si>
    <t>Bomberg M.T., Kumaran M.K., Laboratory and Roofing Exposures of Cellular Plastic Insulation to Verify a Model of Aging, Roofing Research and Standards Development: 3rd Volume, ASTM Special Technical Publication, ASTM, Philadelphia, USA, 1224, pp. 151-167, (1994); Bomberg M.T., Muzychka Y.S., Stevens D.G., Kumaran M.K., A Comparative Test Method to Determine Thermal Resistance under Field Conditions, Journal of Thermal Insulation and Building Envelopes, 18, pp. 163-181, (1994); Bomberg M., Onysko D.M., Lstiburek J.W., Review of the Air Barrier Issues, ASHRAE/DoE/ORNL IX Conference on Whole Buildings; Bomberg M., Pazera M.K., Energy Performance of SPF Roofs: Documentation and Review, Report for Spray Polyurethane Foam Contractors Alliance, (2006); Bomberg M., Pazera M., Zhang J., On Validation of Hygric Characteristics for Heat, Air and Moisture Models, 3rd Int. Conf. on Building Physics; Brown W., Adams P., Tonyan T., Ullet J., Water Management in Exterior Wall Claddings, J. Thermal Insulation and Building Envelopes, 21, pp. 23-43, (1997); Derome D., Moisture Accumulation in Cellulose Insulation Caused by Air Leakage in Flat Wood-Frame Roofs, J. Thermal Envelope and Building Science, 28, pp. 269-287, (2005); Giving S., Karagiosis A., Salonvaara M., Measurements and 2-D Computer Simulations of Hygrothermal Performance of Wood Frame Wall, J. Thermal Insul. and Bldg. Envelopes, 20, pp. 301-319, (1997); Greason D.M., Calculated versus Measured Thermal Resistances of Simulated Building Walls Incorporating Airspaces, ASHRAE Transactions, 89, (1983); Hedlin C.P., Orr H.W., Tao S.S., A Method for Determining the Thermal Resistance of Experimental Flat Roof Systems using Flat Roof Systems, ASTM STP, 718, pp. 307-321, (1980); Lstiburek J.W., Toward An Understanding and Prediction of Air Flow in Buildings, PhD Thesis, (2000); Lstiburek J.W., Pressnail K., Timusk J., Transient Interaction of Buildings with HVAC Systems - Updating the State of the Art, J. Thermal Env. and Building Science, 24, pp. 111-131, (2000); Lstiburek J.W., Pressnail K., Timusk J., Evaluating the Air Pressure Response of Multizonal Buildings, J. Thermal Env. and Building Science, 25, pp. 299-320, (2002); Said M.N.A., Brown W.C., Walker I.S., Long-term Field Monitoring of EIFS Clad Wall, J. Thermal Insulation and Building Envelopes, 20, pp. 320-338, (1997); Ojnanen T.R., Kumaran M.K., Effect of Exfiltration on Hygrothermal Behaviour of a Residential Wall Assembly, J. Thermal Envs. and Bldg. Envs., 19, pp. 215-228, (1996); Onysko D.M., Jones S.K., Air Tightness of Wall Sheathing as a Function of Lumber Drying. Proceedings of the, ASHRAE/DOE/BTECC/CIBSE Conference; Onysko D.M., Air Tightness of Joints in Wall Sheathing as a Function of Lumber Drying, ICBEST Conference, ON, Canada; Pazera M., Model Based Characterization of Construction Materials for Hygrothermal Performance Evaluation. PhD Thesis, (2007); Petrie T.W., Atchley G., Desjarlais A.O., Christian J.E., Effect of Mechanical Fasteners and Gaps between Insulation Boards on Thermal Performance of Low-slope Roofs, J. Thermal Envelope and Building Science, 23, pp. 292-317, (2000); Roels S., Carmeliet J., Hens H., Adan O., Brocken H., Cerny R., Pavlik Z., Hall C., Kumaran K., Pel L., Plagge R., Interlaboratory Comparison of Hygric Properties of Porous Building Materials, Journal of Th. Env. and Bld. Sci., 27, pp. 307-326, (2004); Shetty M.S., Development of Test Procedure to Measure Effects of Moist Air Flow on Thermal Performance of Wood Frame Walls, MSc Thesis, (2007); Thorsell T., Bomberg M., Hygrothermal Performance of Building Enclosures; Part 1: Thermal Bridges, Submitted to J. of Building Enclosure Design, (2008); Uvslokk S., The Importance of Wind Barriers for Insulated Timber Frame Constructions, J. Thermal Envelope and Building Science, 20, pp. 40-62, (1996)</t>
  </si>
  <si>
    <t>2-s2.0-46249091366</t>
  </si>
  <si>
    <t>Ojanen T.T.</t>
  </si>
  <si>
    <t>Thermal and moisture performance of a sealed cold-roof system with a vapor-permeable underlay</t>
  </si>
  <si>
    <t>https://www.scopus.com/inward/record.uri?eid=2-s2.0-85090808433&amp;partnerID=40&amp;md5=89c34fce10cf7ac8ee960365f1288952</t>
  </si>
  <si>
    <t>A sloped-roof structure, having only one ventilation airspace, is studied in this paper. In this sealed cold-roof system, the underlay foil forms a nonventilated airspace above the thermal insulation, which improves the thermal performance of the roof. The internal moisture loads can be transported by diffusion through the highly vapor-permeable underlay to the ventilation cavity. The sealed underlay system works also as an additional resistance against air leakages. The thermal and moisture performance of the sealed and conventional roofs were studied in field experiments done in a test building in southern Finland. Different roof sections have been studied for three heating seasons. The experiments show that the sealed roofs have as good a moisture performance as conventional roofs. With similar air leakage paths and pressure differences, the sealed underlay system could decrease the leakage airflow rate by 15% and the total heat losses through the ceiling by 23% when compared to a conventional roof. © 2001 American Society of Heating, Refrigeration, and Air-Conditioning Engineers (ASHRAE). All rights reserved.</t>
  </si>
  <si>
    <t>Hens H., Mohamed F., Measured results on infiltration and exfiltration in sloped roofs, (1998); Janssens A., Hens H., Condensation risk assessment, Thermal performance of the exterior envelopes of buildings VII, pp. 199-206, (1998); Ojanen T., Kohonen R., Hygrothermal influence of air convection in wall structures, Thermal Performance of the Exterior Envelopes of Buildings IV, pp. 234-249, (1989); Ojanen T., Kumaran M.K., Air exfiltration and moisture accumulation in residential wall cavities, Thermal Performance of the Exterior Envelopes of Buildings V, pp. 491-500, (1992); Ojanen T., Simonson C., Convective moisture accumulation in structures with additional inside insulation, Thermal Performance of the Exterior Envelopes of Buildings VI, pp. 745-752, (1995); Ojanen T., Moisture performance of sealed roof system with vapour permeable underlay, Proceedings (Vol 2) of the 5th Building physics symposium in the Nordic countries, pp. 425-432, (1999); Ojanen T., Thermal and moisture performance assessment of sealed roof system with vapour permeable underlay, Proceedings of the International Building Physics Conference, pp. 233-240, (2000); Silberstein A., Arquis E., McCaa D.J., Forced convection effects in fibrous thermal insulation, Insulation materials: Testing and applications, pp. 292-309, (1991); Uvslokk S., The importance of wind barriers for insulated timber frame constructions, Journal of Thermal Insulation and Building Envelopes, 20, pp. 40-62, (1996); Viitanen H., Factors affecting the development of mould and brown rot decay in wooden material and wooden structures. Effect of humidity, temperature and exposure time, (1996)</t>
  </si>
  <si>
    <t>2-s2.0-85090808433</t>
  </si>
  <si>
    <t>Saïd M.N.A.; Brown W.C.; Shirtliffe C.J.; Maurenbrecher A.H.P.</t>
  </si>
  <si>
    <t>Monitoring of the building envelope of a heritage house: A case study</t>
  </si>
  <si>
    <t>30</t>
  </si>
  <si>
    <t>10.1016/S0378-7788(98)00031-0</t>
  </si>
  <si>
    <t>https://www.scopus.com/inward/record.uri?eid=2-s2.0-0343090769&amp;doi=10.1016%2fS0378-7788%2898%2900031-0&amp;partnerID=40&amp;md5=8a936dfa790d95a59fe328300c56978a</t>
  </si>
  <si>
    <t>The paper describes the long-term monitoring of the hygrothermal performance of the building envelope of a heritage house located in Ottawa. The house, once the residence of two of Canada's Prime Ministers, now serves as a museum. To preserve the historical artifacts within the building, the specified temperature and relative humidity (RH) for the indoor air are 21 °C and 35% to 50%, respectively. As the house must also be preserved, there was concern about the effect of the high indoor RH (moisture) on the durability of the building structure. The main objective of the monitoring was to assess the effect of the conditioned air on the building envelope. Selected wall sections and a window were continuously monitored from March 1995 to August 1996. The monitoring included indoor and outdoor conditions and the attic environment. Temperature, RH, surface wetting-drying cycles (from precipitation or condensation), and air-pressure differential were monitored. This paper describes the monitoring approach and results. The results indicated that the brick walls are unlikely to experience internal condensation problems as long as they are subjected to a negative air pressure difference. However, because the building is quite leaky, the negative pressure introduced too much cold dry air from the exterior. It caused localized cold spots with condensation and ice formation on interior of walls and ceiling. Negative air pressure differences are not a solution unless the leakage paths are reduced.</t>
  </si>
  <si>
    <t>Atmospheric humidity; Atmospheric pressure; Atmospheric temperature; Brick buildings; Climate control; Moisture; Pressure effects; Heritage houses; Museums</t>
  </si>
  <si>
    <t>Rousseau M.Z., Maurenbrecher A.H.P., Rehab of solid masonry walls: The debate on the control of heat, air and moisture flows, Construction Canada, 32, 5, pp. 15-20, (1990); Fram M., Murderous moisture in historic buildings, The Canadian Architect, (1991); Park S.C., Holding the line: Controlling unwanted moisture in historic buildings, Preservation Brief 39; A. Said M.N., Brown W.C., Walker I.S., Long-term field monitoring of an EIFS clad wall, Journal of Thermal Insulation and Building Envelopes, 20, pp. 320-338, (1997); Monitoring helps historic buildings meet new roles, Construction Innovation, 1, (1995); Small buildings: Technology in transition, Building Science Insight, Proceedings, 17, (1990)</t>
  </si>
  <si>
    <t>2-s2.0-0343090769</t>
  </si>
  <si>
    <t>Effect of exfiltration on the hygrothermal behaviour of a residential wall assembly</t>
  </si>
  <si>
    <t>19</t>
  </si>
  <si>
    <t>The hygrothermal behaviour of timber frame wall is analysed using a steady-state calculation method and a two-dimensional heat, air, and moisture transport computer model. The conditions associated with exfiltration of warm and humid indoor air are examined. The physical quantities investigated included the amount of moisture accumulated in the wall cavity during the heating season and the heat loss across the wall. Several interesting correlations between moisture accumulation in a cavity and parameters such as leakage rate, vapour permeance characteristics of the exterior boundary, additional thermal resistance offered by an exterior sheathing, and indoor humidity level emerge. These correlations show the advantage of using the analytical methods in deriving design guidelines for building components. The results from the analysis are used to identify and quantify various parameters that govern the performance of air barrier systems.</t>
  </si>
  <si>
    <t>Houvenaghel G.; Horta A.; Hens H.</t>
  </si>
  <si>
    <t>The impact of airflow on the hygrothermal behavior of highly insulated pitched roof systems</t>
  </si>
  <si>
    <t>https://www.scopus.com/inward/record.uri?eid=2-s2.0-84962382822&amp;partnerID=40&amp;md5=02affb3f02d3c54847b38be43fb81e7a</t>
  </si>
  <si>
    <t>Two important design parameters in insulated pitched roofs are (1) vapor-permeable versus vapor-tight underlays and (2) ventilated versus nonventilated roof constructions. In order to study the influence of both parameters on the hygrothermal performance, highly insulated pitched roof systems were constructed at the K.U. Leuven Vliet test building. During two years of testing, their hygrothermal response has been studied in detail. The roof eaves were redesigned between the first and the second year, with the main objective being to increase their wind-tightness. The temperature and heat flux distributions show the importance of natural and forced air convection. The impact of air transfer shows that traditional thermal performance indicators, such as the conduction-related U-factor, no longer have a clear physical meaning. Measurements of the relative humidity fields, the moisture content in the rafters, and the occurrence of condensation confirmed the importance of air flow, not only for thermal but also for hygric performance. Air leakage measurements reveal the impact of minor perforations, with the leakage linked to the inside-outside temperature difference, wind direction, and wind speed. The air infiltration experiments show a clear relation between wind speed and direction and the magnitude and direction of the air flows in the roof sections. The performance differences between the ventilated and the nonventilated roofs and between the roofs with a vapor-permeable underlay and those with a vapor-tight underlay are overshadowed by these air and wind flow effects. A comparison with previous test roof results also indicates that the very low density of the mineral wool used increases the importance of wind and air flow in and through the roof sections. © 2004 ASHRAE.</t>
  </si>
  <si>
    <t>1977 ASHRAE Handbook—Fundamentals, (1997); ASTM Standard C1155, Standard practice for determining thermal resistance of building envelope components from in-situ data, (1995); Bejan A., Convection heat transfer, (2004); Burch D.M., Luna D.E., A mathematical model for predicting attic ventilation rates required for preventing condensation on roof sheeting, ASHRAE Transactions, 86, 1, pp. 201-220, (1980); Derome D., Testing of flat roofs insulated with cellulose fiber. Thermal Performance of the Exterior Envelopes of Buildings VII, (1998); Hens H., Indoor climate classes, (1992); Hens H., Janssens A., Heat and moisture response of vented and compact cathedral ceilings: A test house evaluation, ASHRAE transactions, 105, 1, pp. 837-850, (1999); Houvenaghel G., Hens H., Pitched roofs with a vapour permeable underlay, (2004); Janssens A., Hens H., Roels S., Vliet test building, (1995); Janssens A., Depraetere W., Morel A., Hens H., Third annual report on the Vliet test building, (1998); Ojanen T., Criteria for the hygrothermal performance of wind barrier structures, Proceedings of the 4th Symposium on Building Physics in the Nordic Countries, pp. 643-652, (1996); Janssens A., Reliable control of interstitial condensation in lightweight roof systems. Calculation and assessment methods, (1998); Janssens A., Hens H., Thermal effects of wind-washing in duo-pitches tiled roofs, Proceedings of the 5th symposium of Building Physics in the Nordic Countries, pp. 417-424, (1999); Lecompte J., The influence of natural convection on the thermal quality of insulated cavity constructions, (1989); Kunzel H., Grosskinksy T., Untersuchungen über die Feuchteverhältnisse bei w:armegedämmten Sateteldachkonstruktionen, (1989); Kunzel H., Grosskinksy T., Vorteile diffusionaoffener, unbelüfteter Satteldachkonstruktionen, (1992); Liersch K.W., Belüfte dach- und Wandkonstruktionen, Band 3: Dächer: Bauphyiskalische Grundlagen des Wärme- und Feuchteschutzes, (1986); Ojanen T., Thermal and moisture performance of a sealed cold roof system with a vapor-permeable underlay, Thermal Performance of the Exterior Envelopes of Buildings VIII, (2001); Rose W.B., The history of attic ventilation regulation and research, Thermal Performance of Exterior Envelopes of Buildings VI, pp. 379-390, (1995); Rose W.B., Measured summer values of sheating and shingle temperatures for residential attics and cathedral ceilings, Thermal Performance of the Exterior Envelopes of Buildings VIII, (2001); Uvslokk S., The importance of wind barriers for insulated timber frame constructions, J. Thermal Insul. and Bld. Envs, 20, pp. 40-62, (1996)</t>
  </si>
  <si>
    <t>2-s2.0-84962382822</t>
  </si>
  <si>
    <t>Grunewald J.; Nicolai A.; Zhang J.</t>
  </si>
  <si>
    <t>Modeling of air convection effects on hygrothermal performance of vented roofs</t>
  </si>
  <si>
    <t>https://www.scopus.com/inward/record.uri?eid=2-s2.0-85043158698&amp;partnerID=40&amp;md5=36d867d67a21383ba333d2346268216e</t>
  </si>
  <si>
    <t>Hygrothermal models for numerical simulation of heat and moisture transfer in building envelopes are already well developed and available to the scientific community. Building upon existing codes, the inclusion of air convection is an essential step towards realistic simulation of air permeable materials. Modeling the airflow effects on hygrothermal performance of vented roofs and lightweight wall assemblies is of particular practical relevance. Key element for an efficient numerical solution is the method of coupling of the balance equations for heat, air and moisture. Various numerical solution techniques exist for coupled non-linear systems of differential equations and have been successfully employed for solving two-dimensional coupled heat and moisture transport problems. However, finding an efficient solution scheme with acceptable accuracy for three-dimensional problems, including airflow effects, remains a challenge. The paper presents the governing equations and assumptions of a newly developed model for Coupled Heat, Air Moisture and Pollutant Simulation (CHAMPS). An approach for considering three-dimensional airflow effects is introduced. The capabilities of the numerical model are demonstrated by application to a vented roof construction widely used in moderate climate zones. © 2007, American Society of Heating, Refrigerating and Air-Conditioning Engineers, Inc.</t>
  </si>
  <si>
    <t>1995 ASHRAE handbook—HVAC applications, (1995); ANSI/ASHRAE Standard 62-1989, Ventilation for acceptable indoor air quality, (1989); Grunewald J., Documentation of the Numerical Simulation program DIM3.1: Theoretical Fundamentals, (2000); Hindmarsh A., Et al., SUNDIALS: Suite of Nonlinear and Differential/Algebraic Equations Solvers, ACM Transactions on Mathematical Software, (2005); Kunzel H.M., Verfahren zur ein- und zweidimensionalen Berechnung des gekoppelten Wärme- und Feuchtetransports in Bauteilen mit einfachen Kennwerten, (1994); Nicolai A., Grunewald J., Zhang J. S., Recent improvements in HAM simulation tools: Delphin 5 / CHAMPS-BES, Proceedings of the 12th Symposium for Building Physics, (2007); Sasic Kalagasidis A., HAM-tools. An integrated simulation tool for heat, air and moisture transfer analyses in building physics, (2004)</t>
  </si>
  <si>
    <t>2-s2.0-85043158698</t>
  </si>
  <si>
    <t>Kan L.; Piñon J.P.</t>
  </si>
  <si>
    <t>Predicting the effect of wall-cladding ventilation on condensation due to sun-driven moisture: Comparison of hygrothermal simulation with laboratory testing</t>
  </si>
  <si>
    <t>https://www.scopus.com/inward/record.uri?eid=2-s2.0-84916911211&amp;partnerID=40&amp;md5=3d308be30095ee0c7f0368485520337a</t>
  </si>
  <si>
    <t>Providing for ventilation airflow behind wall claddings has been shown to reduce the risk of condensation due to sun-driven moisture when rain wets an absorptive exterior surface and solar radiation subsequently drives this moisture toward the building interior. Historically, enclosure designers have relied on rules of thumb or on knowledge of cladding ventilation designs that have worked successfully in various climates. Only recently are some of the widely available commercial hygrothermal analysis programs attempting to model the effect of wall-cladding ventilation. This may provide a way for enclosure designers to accurately model and predict the effect of wall-cladding ventilation. This paper compares the results of a hygrothermal simulation program with the results of a series of laboratory tests designed to study the performance of wall systems with ventilated wood siding under sun-driven moisture conditions. The amount of ventilation behind the siding was measured, as well as the temperature and relative humidity profiles. Gravimetric measurements were also made of each component to quantify the amount of moisture accumulation and redistribution within the wall system. Conclusions are drawn on how well the hygrothermal simulation program predicts the effect of wall-cladding ventilation on condensation due to sun-driven moisture. © 2007, American Society of Heating, Refrigerating and Air-Conditioning Engineers, Inc.</t>
  </si>
  <si>
    <t>Handegord G.O.P., Prediction of the moisture performance of walls, ASHRAE Transactions, 91, 2, (1985); Kan L., An investigation of measures to reduce summer condensation in walls, (1999); Kan L., Pinon J.P., Predicting and modeling the effects of wall ventilation on sun-driven condensation, Proceeding from International Building Physics Conference, 3, pp. 379-386, (2006); Kuenzel H., Karagiozis A., Holm A., WUFI Pro, Version 4.1, (2006); Pressnail K., Timusk J., Kan L., Dong B., In search of a wall for all seasons: Controlling sun-driven moisture, Proceedings of the 9th Canadian Conference on Building Science and Technology, (2003); Southern J.R., Summer condensation within dry lined solid walls, Building Services Engineering Research and Technology, 7, 3, pp. 101-106, (1986); Southern J.R., Summer condensation on vapour checks: Test with battened, internally insulated, solid walls, (1988); Straube J.F., Burnett E.F.P., Field Testing of Filled-Cavity Wall Systems, (1997); Wilson A.G., Condensation in insulated masonry walls in summer, Proceedings of the RILEM/CIB Symposium on Moisture Problems in Buildings, pp. 1-7, (1965)</t>
  </si>
  <si>
    <t>2-s2.0-84916911211</t>
  </si>
  <si>
    <t>Ojanen T.; Kumaran K.</t>
  </si>
  <si>
    <t>Journal of Thermal Envelope and Building Science</t>
  </si>
  <si>
    <t>https://www.scopus.com/inward/record.uri?eid=2-s2.0-9644279876&amp;partnerID=40&amp;md5=6929aa863efd93a0acd4f44707ac82da</t>
  </si>
  <si>
    <t>Air barrier; Condensation; Exfiltration; Vapour diffusion; Walls</t>
  </si>
  <si>
    <t>Karagiozis A.N., Kumaran M.K., Computer Model Calculation on the Performance of Vapor Barriers in Canadian Residential Buildings, ASHRAE Transactions, 99, 2, pp. 991-1003, (1993); Latta K., Vapour Barriers: What Are They? Are They Effective?, Canadian Building Digest, (1976); Ojanen T., Kumaran M.K., Air Exfiltration and Moisture Accumulation in Residential Wall Cavities, Thermal Performance of Exterior Envelopes of Buildings V, Proceedings of ASHRAE/DOE/BTECC Conference, pp. 491-500; Ojanen T., Kohonen R., Hygrothermal Influence of Air Convection in Wall Structures. Thermal Performance of Exterior Envelopes of Buildings IV, Proceedings of ASHRAE Conference, pp. 234-249, (1989); Morrison I.D., Karagoizis A.N., Kumaran M.K., Thermal Performance of a Residential Dynamic Wall. Thermal Performance of Exterior Envelopes of Buildings V, Proceedings of ASHRAE/DOE/BTECC Conference, pp. 229-234, (1992); Ojanen T., Kohonen R., Hygrothermal Performance Analysis of Wind Barrier Structures, ASHRAE Transactions, (1995); Glaser H., Graphisches Vefrhren zur Untersuchung von Diffusionsvorgangen, Kaltetechnik, 10, pp. 345-349, (1959); Seiffert K., Wasserdampf Diffusion im Bauwesen, (1982); Climatic Information for Building Design in Canada, 1 SUPPL., (1977); Di Lenardo B., Brown W.C., Dalgliesh W.A., Poirier G.F., Kumaran M.K., Air Barrier Systems for Exterior Walls of Low-Rise Buildings, (1995); National Building Code of Canada, 9 PART, (1990); Hens H., Janssens A., Enquiry on HAMCaT Codes</t>
  </si>
  <si>
    <t>2-s2.0-9644279876</t>
  </si>
  <si>
    <t>Brown W.C.; Roppel P.; Lawton M.</t>
  </si>
  <si>
    <t>Developing a design protocol for low air and vapour permeance insulating sheathing in cold climates</t>
  </si>
  <si>
    <t>https://www.scopus.com/inward/record.uri?eid=2-s2.0-85068159297&amp;partnerID=40&amp;md5=ea0b61a5cf89961d35b9c3feda883c53</t>
  </si>
  <si>
    <t>Our company, a consulting engineering firm, was engaged to develop a design protocol for the application of insulating sheathing to low-rise buildings with high interior relative humidity (maximum 60%) for a range of degree-day locations across Canada. The protocol had to be consistent with requirements of the National Building Code of Canada (NBC) for sheathing with low air and vapour permeance applied to wood frame walls in cold climates. A time variant, two-dimensional, heat-air-moisture (HAM) modeling program was selected to determine the hygrothermal performance of walls with a range of thermal insulation, air tightness and vapour permeance. The parametric study included a sparse matrix of material properties and outdoor environments. Air leakage paths included porous materials and gaps between non-porous materials. The results from the parametric study were analyzed for excessive moisture accumulation and developed a design protocol for the selection of insulating sheathing for buildings with high interior relative humidity in cold climates. This paper presents the development of the model, parametric study and analysis. © 2007, American Society of Heating, Refrigerating and Air-Conditioning Engineers, Inc.</t>
  </si>
  <si>
    <t>Chown G.A., Mukhopadhyaya P., NBC 9.25.1.2.: The On-Going Development of Building Code Requirements to Address Low Air and vapour Permeance Materials, Proceedings of the 10th Canadian Conference on Building Science and Technology, (2005); Chown G.A., Committee Paper on Application of NBC Part 9 Building Envelope Diffusion Requirements Depending on Indoor Relative Humidity, (2003); Di Lenardo B., CodeBoard® Air Barrier System, (2003); Jones R., Indoor Humidity Calculation Procedures, Building Services Engineering and Technology, 16, 3, pp. 119-126, (1995); Jones R., Modelling Water vapour Conditions in Buildings, Building Services Engineering Research and Technology, 14, 3, pp. 99-106, (1993); Kumaran M.K., Haysom J.C., Low-Permeance Materials in Building Envelopes, (2002); Kumaran M.K., Lackey J.C., Normandin N., Van Reenen D., Tariku F., Summary Report From Task 3 of MEWS Project at the Institute for Research in Construction - Hygrothermal Properties of Several Building Materials, (2002); Kumaran M.K., ASHRAE Research Project RP-1018, sponsored by TC 4.4 Building Materials and Building Envelope Performance, (2002); Nofal M., Straver M., Kumaran M.K., Comparison of Four Hygrothermal Models in Terms of Long-Term Performance Assessment of Wood-Frame Constructions, (2001); Ojanen T., Kumaran M.K., Air Exfiltration and Moisture Accumulation in Residential Wall Cavities. Thermal Performance of Exterior Envelopes of Whole Buildings V, Proceedings of ASHRAE/DOE/BTECC Conference, pp. 491-500, (1992); Ojanen T., Kumaran M.K., Effect of Exfiltration on the Hygrothermal Behaviour of a Residential Wall Assembly, Journal of Thermal Insulation and Building Envelopes, 19, pp. 215-227, (1996); Roppel P.J., Lawton M.D., Brown W.C., Modelling of Uncontrolled Interior Humidity for HAM Simulations of Residential Buildings, Thermal Performance of Exterior Envelopes of Whole Buildings X, Proceedings of ASHRAE/DOE/BTECC Conference, (2007); TCC2D - Simulations on the Performance of Air Barriers in Ottawa, (1994)</t>
  </si>
  <si>
    <t>2-s2.0-85068159297</t>
  </si>
  <si>
    <t>Steeman H.-J.; T'Joen C.; Willockx A.; De Paepe M.; Janssens A.</t>
  </si>
  <si>
    <t>CFD modelling of HAM transport in buildings: Boundary conditions</t>
  </si>
  <si>
    <t>Proceedings of the 3rd International Building Physics Conference - Research in Building Physics and Building Engineering</t>
  </si>
  <si>
    <t>https://www.scopus.com/inward/record.uri?eid=2-s2.0-56249146323&amp;partnerID=40&amp;md5=7ce2dcaffafcfca268028f07d2adba24</t>
  </si>
  <si>
    <t>In this paper CFD is used to describe the HAM transport between the indoor environment of a single zone building and its surrounding walls. In contrast with traditional methods the CFD approach takes the effect of distributions in the indoor air and in the walls into account and local convection coefficients are calculated. CFD modelling only results in accurate indoor vapour and temperature distributions in case the boundary conditions at the walls are correctly stated. These wall conditions depend on the heat and moisture buffering in the walls. Heat buffering can be taken into account, but no valid description is available in commercial CFD tools for moisture buffering. In this paper a model for moisture buffering in walls is added to the commercial CFD tool Fluent®. Using this model the effect of moisture buffering in walls can be taken into account in the CFD simulation of HAM transport. © 2006 Taylor &amp; Francis Group.</t>
  </si>
  <si>
    <t>Boundary conditions; Boundary value problems; Buildings; Computational fluid dynamics; Engineering research; Image segmentation; Meats; Moisture; CFD simulations; CFD tools; Convection coefficients; In buildings; Indoor airs; Indoor environments; Moisture buffering; Wall conditions; Walls (structural partitions)</t>
  </si>
  <si>
    <t>Bartak M., Beausoleil-Morrison I., Clarke J.A., Denev J., Drkal F., Lain M., Macdonald I.A., Melikov A., Popiolek Z., Stankov P., Integrating CFD and building simulation, Building and environment, 37, pp. 865-871, (2002); Fluent's user guide, (2003); Hedegaard L., Woloszyn M., Rusaouen G., Moisture interactions between air and constructions modelled with CFD, Annex 41 preliminary paper, (2004); Shih T., Liou W.W., Shabbir A., Yang Z., Zhu J., A new k-ε eddy viscosity model for high Reynolds number turbulent flows, Computer Fluids, 24, 3, pp. 227-238, (1995); Teodosiu C., Hohota R., Rusaouen G., Woloszyn M., Numerical prediction of indoor air humidity and its effect on indoor environment, Building and Environment, 38, pp. 655-664, (2003)</t>
  </si>
  <si>
    <t>2-s2.0-56249146323</t>
  </si>
  <si>
    <t>Lecompte Jan G.N.; Hens Hugo S.L.C.</t>
  </si>
  <si>
    <t>Influence of natural convection on the hygrothermal quality of insulated cavity constructions</t>
  </si>
  <si>
    <t>Proceedings of the International Centre for Heat and Mass Transfer</t>
  </si>
  <si>
    <t>https://www.scopus.com/inward/record.uri?eid=2-s2.0-0025844107&amp;partnerID=40&amp;md5=8e4c11cb70cfad69192d6afdd77bb3bc</t>
  </si>
  <si>
    <t>The hygrothermal quality of insulated cavity constructions is strongly affected by workmanship. The presence of air gaps in the insulation layer, in combination with small cavities on both sides of the insulation, can lead to a considerable increase of the heat transfer and to major moisture problems, due to natural convection around the insulation layer. This paper presents an overview of results from experimental and theoretical research dealing with these problems. From the results it can be concluded that stringent requirements must be formulated concerning the correct application of insulation materials in constructions with insulated cavities.</t>
  </si>
  <si>
    <t>Heat Insulating Materials; Insulated Cavity Constructions; Thermal Performance; Heat Transfer</t>
  </si>
  <si>
    <t>2-s2.0-0025844107</t>
  </si>
  <si>
    <t>TenWolde Anton; Carll Charles; Malinauskas Vyto</t>
  </si>
  <si>
    <t>Airflows and moisture conditions in walls of manufactured homes</t>
  </si>
  <si>
    <t>1255</t>
  </si>
  <si>
    <t>10.1520/stp14695s</t>
  </si>
  <si>
    <t>https://www.scopus.com/inward/record.uri?eid=2-s2.0-0029376496&amp;doi=10.1520%2fstp14695s&amp;partnerID=40&amp;md5=15a9a81c101b5a563a9d21c043428fdc</t>
  </si>
  <si>
    <t>Unintentional airflow in exterior framed walls frequently causes diminished thermal performance. Furthermore, even very small infiltrative or exfiltrative airflows with little or no effect on the thermal performance are capable of voiding the moisture protection provided by a vapor retarder. Combined with high indoor or outdoor humidity, such walls may accumulate excessive amounts of moisture. However, more data were needed on airflows in and through wall assemblies and the effect of airflows on moisture conditions in walls. Twenty wood frame walls of ten different designs, characteristic of walls of manufactured homes, were constructed and installed in a test building near Madison, Wisconsin. In-place pressurization and depressurization tests were performed to separately determine airtightness of the interior and exterior membranes of the wall. This paper describes the methodology, equipment, and results of these measurements. Air pressure differences across these walls were monitored during an entire winter season, along with temperatures and moisture conditions in the walls. This paper describes the instrumentation and methodology used in these measurements. The measurements showed that providing wall cavity ventilation may cause pressurization of the wall cavity and can lead to a significant increase in air leakage and heat loss without reliably providing the intended protection from moisture accumulation in the cavity. Although several of the walls experienced condensation and mold growth, the moisture conditions in the walls showed no clear correlation with airtightness or with the amount of air flowing through the wall. Indoor humidity correlated strongly with wall cavity moisture conditions, suggesting that indoor humidity control is the most effective strategy to prevent excessive moisture accumulation in the exterior building envelope during winter.</t>
  </si>
  <si>
    <t>Air; Air quality; Atmospheric humidity; Flow of fluids; Housing; Leakage (fluid); Moisture; Pressurization; Thermodynamic properties; Ventilation; Air leakage; Airflow; Building envelopes; Depressurization; Walls (structural partitions)</t>
  </si>
  <si>
    <t>2-s2.0-0029376496</t>
  </si>
  <si>
    <t>Ojanen Tuomo; Kokko Erkki; Pallari Marja-Liisa</t>
  </si>
  <si>
    <t>Criteria for hygrothermal performance of wind barriers; [Tuulensuojan tuomintaperusteet]</t>
  </si>
  <si>
    <t>Valtion Teknillinen Tutkimuskeskus</t>
  </si>
  <si>
    <t>1478</t>
  </si>
  <si>
    <t>https://www.scopus.com/inward/record.uri?eid=2-s2.0-0027841414&amp;partnerID=40&amp;md5=665f7c26e96f79de3167f15563d56644</t>
  </si>
  <si>
    <t>The objective of this research was to analyze the effects of wind barriers on the thermal and moisture behaviour of wall structures. As a result the recommended values for the air tightness of wind barriers and new experimental methods to analyse the moisture behaviour of wind barrier structures are presented. Also the results from the numerical sensitivity analysis of the parameters of wind barriers, and the survey on the regulations in Nordic countries concerning wind barriers are presented. The increase of heat losses through the building envelope is used as a criteria for the air tightness of the wind barrier layer. Numerical simulation model TCCC2D was used in the analysis. For separated structures, the maximum air permeance of the wind barrier is recommended to be about 25-30 · 10-6 m3/(m2 · s · Pa), and with possible comer convection, value 10 · 10-6 m3/(m2· s · Pa) is recommended. The drying of structural moisture through different types of wind barriers was experimentally analysed. The results show that the vapour permeance of wind barriers determined using typical dry and wet cup methods can not be used to predict the moisture behaviour of wind barrier structures in real conditions. Thin layers are especially problematic in this respect. Sensitivity analysis shows that the air permeance of the wind barrier has no significant effect on the drying of the structure. High air permeance may cause local moisture accumulation because of the increased convection. In order to achieve good moisture performance also in winter conditions, the wind barrier should have high vapour permeance near condensation conditions in freezing temperatures. The moisture performance of wind barrier structures can be evaluated with the experimental methods presented in this research.</t>
  </si>
  <si>
    <t>Mathematical models; Moisture; Numerical analysis; Performance; Wind effects; Air tightness; Hygrothermal performance; Wind barriers; Walls (structural partitions)</t>
  </si>
  <si>
    <t>Report</t>
  </si>
  <si>
    <t>2-s2.0-0027841414</t>
  </si>
  <si>
    <t>Ojanen Tuomo; Kohonen Reijo O.</t>
  </si>
  <si>
    <t>Hygrothermal performance analysis of wind barrier structures</t>
  </si>
  <si>
    <t>https://www.scopus.com/inward/record.uri?eid=2-s2.0-0029226946&amp;partnerID=40&amp;md5=fcc805ebdaf69b3c375702fc4f19e372</t>
  </si>
  <si>
    <t>Wind barriers are used in structures that have air-permeable thermal insulation materials. Their main function is to prevent the pressure differences from causing airflow-related heat loss through the building envelope. Wind barriers should not contribute to moisture problems in structures by causing condensation or moisture accumulation. This paper presents requirements for the airtightness of wind barriers and results of the hygrothermal analysis of wind barrier structures. The studied wind barrier structures were typical for small houses in Finland - timber-framed structures with lightweight glass wool thermal insulation. The air permeances and the parameter sensitivities were studied numerically both for ideal and nonideal structures. In ideal structures, the material layers were assumed to be tightly (ideally) connected to each other, but in nonideal structures, there were air leakage routes (air cracks) at the interphases of thermal insulation and adjacent material layers. The drying of moisture through different wind barriers was analyzed in laboratory experiments under boundary conditions similar to those in practice, e.g., with outdoor temperatures below and above 0°C. The measured moisture flows were compared with those derived from a wet-cup water vapor permeability test. Also, the liquid flow along the interface of the wind barrier and glass wool was studied in full-scale experiments with high moisture loads.</t>
  </si>
  <si>
    <t>Boundary conditions; Buildings; Computer simulation; Heat losses; Infiltration; Mathematical models; Moisture; Airtightness; Hygrothermal performance; Wind barriers; Thermal insulating materials</t>
  </si>
  <si>
    <t>2-s2.0-0029226946</t>
  </si>
  <si>
    <t>Salonvaara M.H.; Karagiozis A.N.</t>
  </si>
  <si>
    <t>EIFS hygrothermal performance due to initial construction moisture as a function of air leakage, interior cavity insulation, and climate conditions</t>
  </si>
  <si>
    <t>https://www.scopus.com/inward/record.uri?eid=2-s2.0-85103036696&amp;partnerID=40&amp;md5=78b0546c3b9f1be3847212ffdaff8f13</t>
  </si>
  <si>
    <t>The drying capability of an EIFS wall system with initial construction moisture critically depends on the climatic conditions in which it is placed. The drying rate mechanisms with which walls redistribute and transport moisture away from the envelope may affect the service life of the wall system. Potential moisture-induced damage becomes important when the wall is not properly designed with adequate drying capacity. This paper investigates the drying performance of a particular EIFS (exterior insulation and finish system) clad wall. A state-of-the-art two-dimensional hygrothermal model, developed by the authors, was employed to determine the hourly spatial temperatures, moisture content, and air velocity distributions within wall systems as a function of real climatic conditions. In the parametric investigation, the performance of a particular EIFS clad wall as a function of two stud cavity insulation materials was studied. Two cavity insulation materials were investigated: fiberglass and cellulose insulation. Two climatic conditions were chosen in the moisture analysis, representing cold and mild climates; these were Chicago, Illinois, and Wilmington, North Carolina, respectively. The effect of wall drying and wetting in the presence of a particular airflow path (cracks) was investigated for all cases. The air leakage path was assumed to be present due to an electrical outlet close at the interior, an opening present between oriented strand panels, and a conduit in the stucco layer. Initial OSB moisture content was assumed to be very high. The influences of wind-driven rain, solar radiation, and air movement were included in the simulation analysis on an hourly basis. Results showed that air leakage through a particular EIFS clad wall in Wilmington produced a net drying effect for a wall system with an initially wet OSB layer, while air leakage developed a net seasonal moisture accumulation in Chicago. The effect of stud cavity insulation was found to be critical, as the storage capacity for moisture increased in the cellulose case, compared to the fiberglass insulation case. The distinct effect is present when comparing the two insulation systems. The cellulose insulation case retained higher amounts of moisture. Solar-driven moisture was also more critical in the cellulose insulation case than in the fiberglass case. The thermal and moisture results were then linked to a state-of-the-art mold growth model to assess the risk of moisture-induced damage. Results were developed in the form of mold growth indexes. Results showed the probable mold growth index potential as a function of climatic conditions and as a function of cavity insulation. Higher risk of mold growth is present in the cellulose case than in the fiberglass insulation case. If there is a high mold growth index and the underlying material is maintained at high moisture content, there is a potential for developing decay (if the wood is already infected internally). Since boric acid is added in cellulose insulation as a treatment for fire, mold, and insect and rodent control, as wet blown cellulose comes in contact with other materials, some of the chemical will treat these surfaces. For the same wall system, Wilmington exhibited slightly worse conditions than Chicago for mold growth. The development of mold growth indexes permits one to perform a moisture engineering analysis and extend current moisture assessment analysis of building envelopes’ long-term performance. © 1998 American Society of Heating, Refrigeration, and Air-Conditioning Engineers (ASHRAE). All rights reserved.</t>
  </si>
  <si>
    <t>Theory documentation for TASCflow, (1993); Hamlin T., Gusdorf J., Airtightness and energy efficiency of new conventional and R-2000 housing in Canada, (1997); Hens H., Janssens A., Inquiry on HAMCAT CODES. Heat, air and moisture transfer in insulated envelope parts, (1993); Hukka A., Viitanen H., A mathematical model of mold growth on wooden material, (1998); Janssens A., Hens H., Condensation and airtightness: Tolerance of roof design, Building Physics in the Nordic Countries, pp. 423-430, (1996); Karagiozis A., Porous media transport, CFD 97, The Fifth Annual Conference of the Computational Fluid Dynamics Society of Canada, pp. 7-21, (1997); Karagiozis A., Overview of the 2-D hygrothermal heat-moisture transport model LATENITE, (1993); Karagiozis A.N., Salonvaara H.M., Hygrothermal performance of EIFS walls: Effect of the combined vapor diffusion and air leakage on the drying potential of an EIFS wall, Third Symposium on Water Problems in Building Exterior Walls: Evaluation, Prevention and Repair, (1998); Karagiozis A.N., Kumaran M.K., Drying potential of EIFS walls: Innovative vapor control strategies, Exterior Insulation and Finish Systems (EIFS): Innovations and Solutions to Industry Challenges, (1997); Karagiozis A., Salonvaara M., Kumaran K., LATENITE hygrothermal material property database, IEA Annex 24 Report T1-CA-94/04, (1994); Kim A.K., Shaw C.Y., Seasonal variation in airtightness of two detached houses, Measured Air Leakage of Buildings, (1986); Data for Wilmington, (1995); Nisson N.J.D., Severe rotting found in homes with exterior insulation systems, Energy Design Update, 15, 12, pp. 1-3, (1995); Ojanen T., Kumaran M.K., Effect of exfiltration on the hygrothermal behavior of a residential wall assembly, J. Thermal Insul. and Bldg. Envs, 9, pp. 215-227, (1996); Ojanen T., Kumaran M.K., Air exfiltration and moisture accumulation in residential wall cavities, Thermal Performance of the Exterior Envelopes of Buildings V, (1992); Persily A.K., Measurements of air infiltration and airtightness in passive solar homes, Measured Air Leakage of Buildings. ASTM STP, 904, (1986); Salonvaara M., Karagiozis A., Moisture transport in building envelopes using an approximate factorization solution method, CFD Society of Canada, (1994); Straube J.F., Moisture control and enclosure wall systems, (1998); TenWolde A., Rose W.B., Moisture control strategies for building envelope, J. Thermal Insul. and Bldg. Envelopes, 9, pp. 206-214, (1996); Viitanen H., Modeling the time factor in the development of brown rot decay in pine and spruce sapwood—The effect of critical humidity and temperature conditions, International Journal of the Biology, Chemistry and Technology of Wood, 51, 2, pp. 99-106, (1997); Viitanen H., Modeling the time factor in the development of mould fungi—The effect of critical humidity and temperature conditions on pine and spruce sapwood, International Journal of the Biology, Chemistry and Technology of Wood, 51, 1, pp. 6-14, (1997); Viitanen H., Factors affecting the development of mould and brown rot decay in wooden material and wooden structures: Effect of humidity, temperature and exposure time, (1996); Warren P.R., Webb B.C., Ventilation measurements in housing, CIBSE Symposium, Natural Ventilation by Design, (1986)</t>
  </si>
  <si>
    <t>2-s2.0-85103036696</t>
  </si>
  <si>
    <t>Derome D.</t>
  </si>
  <si>
    <t>Moisture accumulation in cellulose insulation caused by air leakage in flat wood frame roofs</t>
  </si>
  <si>
    <t>10.1177/1097196305048597</t>
  </si>
  <si>
    <t>https://www.scopus.com/inward/record.uri?eid=2-s2.0-12344303541&amp;doi=10.1177%2f1097196305048597&amp;partnerID=40&amp;md5=4676dc95e8838926f5f70bd3c01a33db</t>
  </si>
  <si>
    <t>The hygrothermal performance of assemblies can be assessed by testing and monitoring large-scale specimens exposed to realistic conditions under controlled laboratory settings. Moisture transfer cannot be measured directly, but moisture content can be monitored. A large-scale test of two flat roof assemblies filled with cellulose insulation is performed. The six-and-a-half-month test simulated a complete wetting and drying cycle from winter to summer. The wood structure and the cellulose insulation are the object of an extensive moisture content monitoring which included 102 resistance-type electronic moisture probes and 120 gravimetric specimens. The objective of this paper is to report on the changes in moisture content in the cellulose insulation as a function of the different air leakage paths.</t>
  </si>
  <si>
    <t>Cellulose insulation; Large-scale testing; Moisture content; Wood frame roof</t>
  </si>
  <si>
    <t>Cellulose Fibers; Energy Conservation; Frames; Gravimetry; Insulation; Moisture; Wood; Wood Structure; Energy conservation; Gravimetric analysis; Insulation; Moisture; Roofs; Wood; Cellulose insulation; Electronic moisture; Large scale testing; Wood frame roof; Cellulose</t>
  </si>
  <si>
    <t>Barrett D., The Renewal of Trust in Residential Construction, Part 2, (2000); Fazio P., Derome D., Gerbasi D., Athienitis A., Depani S., Testing of flat roofs insulated with cellulose fiber, Proceedings of the Thermal Performance of the Exterior Envelopes of Buildings VII, pp. 3-13, (1998); Derome D., Fazio P., Large-scale testing of two flat roof assemblies insulated with cellulose, Journal of Architectural Engineering, 6, 1, pp. 12-23, (2000); Fazio P., Derome D., Tested performance of cellulose insulation in flat roofs, Proceedings of the 5th Symposium Building Physics in the Nordic Countries, pp. 401-408, (1999); Derome D., Fazio P., Assessment of moisture build-up potential in non-vented flat roofs, International Building Physics Conference 2000, (2000); Fazio P., Athienitis A., Marsh C., Rao J., An environmental chamber for investigation of building envelope performance, ACSE Journal of Architectural Engineering, 3, 2, pp. 97-102, (1997); Rose W.B., McCaa D.J., Temperature and moisture performance of wall assemblies with fiberglass and cellulose insulation, Proceedings of the DOE/ORNL/ASHRAE/BETEC/NRCC/CIBSE Conference, Thermal Performance of the Exterior Envelopes of Buildings VII, pp. 133-144, (1998); Wilkes K.E., Childs P.W., Thermal performance of fiberglass and cellulose attic insulations, Proceedings of ASHRAE/DOE/BETEC Thermal Performance of the Exterior Envelopes of Building V, pp. 357-367, (1992); Catalog of Materials Properties, Report Annex XIV; Burch D.M., Chi J., MOIST a PC Program for Predicting Heat and Moisture Transfer in Building Envelope Release 3.0, (1997)</t>
  </si>
  <si>
    <t>2-s2.0-12344303541</t>
  </si>
  <si>
    <t>Handegord G.O.</t>
  </si>
  <si>
    <t>Air Leakage, Ventilation, and Moisture Control in Buildings</t>
  </si>
  <si>
    <t>STP 779</t>
  </si>
  <si>
    <t>10.1520/STP38696S</t>
  </si>
  <si>
    <t>https://www.scopus.com/inward/record.uri?eid=2-s2.0-0020299371&amp;doi=10.1520%2fSTP38696S&amp;partnerID=40&amp;md5=a3f7e577ba2e92a3da10700b3a799ecd</t>
  </si>
  <si>
    <t>Air leakage through the building envelope traditionally has been regarded as an acceptable means of ventilation, although it is a major cause of condensation problems in buildings and can be a contributing factor to rain penetration. Recent concern for energy conservation, promoting the need for air tightness, is still clouded by the notion that some leakage must be provided and that the primary effort must be toward quantifying the resultant energy loss. This paper discusses the possible effects of wind, stack effect, vents, and fans on air leakage, and the influence of air leakage openings and their location on the pattern of air flow through buildings. The possible extent and location of condensation in relation to these patterns is considered, as well as methods of controlling moisture entry and removal of accumulated moisture. Effort toward the development of construction details, techniques, and standards to ensure air tightness in buildings and building components is advocated as the primary means of achieving energy conservation through improved building performance and extended service life. Copyright © 1982 by ASTM International.</t>
  </si>
  <si>
    <t>air leakage; chimneys; condensation; heating systems; humidity; moisture; vapor diffusion</t>
  </si>
  <si>
    <t>Buildings; Energy conservation; Energy dissipation; Historic preservation; Humidity control; %moisture; Air leakage; Airtight ness; Airtightness; Building envelopes; Condensation problems; Contributing factor; Heating system; In-buildings; Vapour diffusions; CONDENSATION; ENERGY CONSERVATION; RAIN PENETRATION; STACK EFFECT; VENTS AND FANS; WIND EFFECT; Condensation; Buildings</t>
  </si>
  <si>
    <t>ASHRAE Handbook and Product Directory, (1979); ASHRAE Handbook; Fundamentals, (1977); Wilson A.G., Thermal Characteristics of Double Windows, Canadian Building Digest, 58, (1964); Kent A.D., Handegord G.O., Robson D.R., ASHRAE Transactions, 72, pp. II11-II18, (1966); Tamura G.T., ASHRAE Transactions, 81, pp. 202-211, (1975); Tamura G.T., Wilson A.G., ASHRAE Journal, 5, 12, pp. 65-73, (1963); Perreault J.C., Construction Details for Air Tightness, pp. 7-11, (1980); Turenne R.G., Construction Details for Air Tightness, pp. 25-29, (1980); Hutcheon N.B., Requirements for Exterior Walls, Canadian Building Digest, 48, (1963); Garden G.K., Rain Penetration and Its Control, Canadian Building Digest, 40, (1963); Wilson A.G., Tamura G.T., Stack Effect in Buildings, Canadian Building Digest, 104, (1968); Burn K.N., Construction Details for Air Tightness, pp. 13-19, (1980); Tamura G.T., Kuester G.H., Handegord G.O., Condensation Problems in Flat Wood-Frame Roofs, Second International CIB/RILEM Symposium on Moisture Problems in Buildings, (1974); Quirouette R.L., Construction Details for Air Tightness, pp. 21-23, (1980); Orr H.W., Figley D.A., An Exhaust Fan Apparatus for Assessing the Air Leakage Characteristics of Houses, BR Note, (1980); Shaw C.Y., ASHRAE Transactions, 86, pp. 241-250, (1980)</t>
  </si>
  <si>
    <t>2-s2.0-0020299371</t>
  </si>
  <si>
    <t>Karagiozis A.N.; Salonvaara M.H.</t>
  </si>
  <si>
    <t>Hygrothermal performance of EIFS-Clad walls: effect of vapor diffusion and air leakage on the drying of construction moisture</t>
  </si>
  <si>
    <t>1352</t>
  </si>
  <si>
    <t>10.1520/stp13329s</t>
  </si>
  <si>
    <t>https://www.scopus.com/inward/record.uri?eid=2-s2.0-0032654174&amp;doi=10.1520%2fstp13329s&amp;partnerID=40&amp;md5=560df4438bb28ff6bfcad5c94d1a1917</t>
  </si>
  <si>
    <t>Cladding (coating); Computer simulation; Construction; Drying; Dynamic loads; Finishing; Mathematical models; Moisture; Performance; Structural analysis; Thermal insulation; Wetting; Air leakage; Construction moisture; Exterior insulation and finish systems; Hygrothermal performance; LATENITE model; Moisture analysis; Moisture transport; Vapor diffusion; Vapor retarder; Walls (structural partitions)</t>
  </si>
  <si>
    <t>Thomas R.G. Jr., Exterior Insulation and Finish System Design Handbook, (1992); William M.F., Williams B.L., EIFS resistance to moisture: Face-sealed barrier performance, Development, Use and Performance of Exterior Insulation and Finish Systems (EIFS), ASTM STP 1187, (1995); Lampo R.G., Trovillion J.C., Performance of class PB and class PM exterior insulation and finish systems under impact loadings, Development Use and Performance of Exterior Insulation and Finish Systems, ASTM STP 1187, (1995); Piper R.S., Raab S., Factors affecting the water resistance of EIFS base coats and insulation board, ASTM International Symposium on Exterior Inuslation and Finish Systems (EIFS): Performance of EIFS Worldwide, (1992); Bomberg M., Lstiburek J., Nabhan F., Performance evaluation of Exterior Insulation and Finish Systems (EIFS), Seventh Conference on Building and Science and Technology, pp. 1-15, (1997); Brown W., Ullett J., Karagiozis A., Tonyan T., Barrier EIFS clad walls: Results from a moisture engineering study, Journal of Thermal Insulation and Building Envelopes, 20, pp. 1-21, (1997); Crandell J.C., Kenny T., Investigation of Moisture Damage in Single-Family Detached Houses Sided with Exterior Insulation Finnish Systems in Wilmington NC, (1995); Nelson P., Waltz M., EIFS - Surface sealed wall systems that need flashings, Exterior Insulation Finish Systems (EIFS): Materials, Properties, and Performance, ASTM STP 1269, pp. 149-164, (1996); Kudder J.R., Lies K.M., Comparison of class PB EIFS lamina water transmission test methods, Exterior Insulation Finish Systems (EIFS): Materials, Properties, and Performance, ASTM STP 1269, pp. 84-102, (1996); Nissen N.J.D., Severe rotting found in homes with exterior insulation systems, Energy Design Update, 15, 12, pp. 1-3, (1995); Nissen N.J.D., Ordinary paint as replacement for poly vapor retarder, Energy Design Update, pp. 5-7, (1994); Hutcheon N.B., Humidified buildings Canadian building digest, UDC 697.93, (1963); Lakey J.C., Marchand R.G., Kumaran M.K., A logical extension of the ASTM STANDARD E96 to determine the dependence of water vapor transmission on relative humidity, ASTM STP 1320, pp. 456-468, (1997); Karagiozis A.N., Kumaran M.K., Computer model calculation on the performance of vapor retarders in Canadian residential buildings, ASHRAE Transactions, 99, 2, pp. 991-1003, (1993); Kumaran M.K., Mitalas G.P., Kohonen R., Ojanen T., Moisture transport coefficient of pine from gamma ray absorption measurements, ASME HTD, 123, pp. 179-183, (1989); Ojanen T., Kumaran M.K., Air exfiltration and moisture accumulation in residential wall cavities, Thermal Performance of Exterior Envelopes of Buildings V, (1992); Kunzel H.M., Humidity controlled vapor retarder reduce risk of moisture damage, Proceedings of the 4th Symposium, Building Physics in the Nordic Countries, pp. 447-454, (1996); National building code of Canada, Location of Vapor Barriers, 9.25.6.2., (1990); Ojanen T., Kumaran M.K., Effect of exfiltration on the hygrothermal behavior of a residential wall assembly, Journal of Thermal Insulation and Building Envelopes, 19, pp. 215-227, (1996); Quirouette R.L., The difference between a vapor barrier and an air barrier, Building Practice Note BPN 54, (1995); Rousseau M.Z., Control of surface and concealed condensation, Humidity Condensation and Ventilation in Houses, pp. 29-40, (1983); Karagiozis A., Hadjisophocleous G., Wind-driven rain on high-rise buildings, Thermal Performance of Exterior Envelopes of Buildings VI, (1995); Karagiozis A., Salonvaara M., Kumaran K., LATENITE hygrothermal material property database, IEA Annex 24 Report T1-CA-94/04, (1994); Hens H., Janssens A., Inquiry on HAMCAT CODES, International Energy Agency, Heat, Air and Moisture Transfer in Insulated Envelope Parts, (1993); Karagiozis A., Overview of the 2-D Hygrothermal Heat-Moisture Transport Model LATENITE, (1993); Salonvaara M., Karagiozis A., Moisture Transport in Building Envelopes Using An Approximate Factorization Solution Method, (1994); Salonvaara M., (1998); Theory Documentation for TASCflow, Version 2.2, (1993); Shipp P., (1996); Data for Wilmington N.C., (1995); Karagiozis A.N., Kumaran M.K., Drying potential of EIFS walls: Innovative vapor control strategies, Exterior Insulation and Finish Systems (EIFS) : Innovations and Solutions to Industry Challenges STP1339, (1997); Lux M.E., Brown W.C., Air leakage control, Proceedings of Building Science Insight '86, pp. 13-19, (1986); Exterior Walls: Understanding the Problems, (1983)</t>
  </si>
  <si>
    <t>2-s2.0-0032654174</t>
  </si>
  <si>
    <t>Ojanen Tuomo; Kohonen Reijo</t>
  </si>
  <si>
    <t>Effect of air convection on the hygrothermal performance of building structures; [Ilmavirtausten vaikutus rakenteiden lampo- ja kosteustekniseen toimintaan]</t>
  </si>
  <si>
    <t>Valtion Teknillinen Tutkimuskeskus, Tutkimuksia</t>
  </si>
  <si>
    <t>590</t>
  </si>
  <si>
    <t>https://www.scopus.com/inward/record.uri?eid=2-s2.0-0024859747&amp;partnerID=40&amp;md5=b8b5de23e16252849aa418a71fcabe0c</t>
  </si>
  <si>
    <t>Air convection has a significant effect on the hygrothermal performance of light-weight building structures. Even with pure natural convection the temperature field differs considerably from that of the 1-dimensional case. The effects of different parameters are difficult to separate from each other by using only experimental research. This study is based mainly on numerical simulation. Computer code TCCC2D (Transient Coupled Convection and Conduction in 2-Dimensions) was used in the calculations. Verification of the numerical model shows that convection in real structures is in many cases stronger than what was calculated for ideal structures. Obviously, the quality of workmanship, i.e., the deviations from ideal structure may locally increase convection and thus affect the heat and moisture transfer. The influence of natural convection on the temperature field and heat flux was also studied in closed and semi-open structures with convection barriers. According to calculations, forced convection increases heat losses most in corner areas of structures. Wood frames may work as convection barriers and thus reduce convective heat losses.</t>
  </si>
  <si>
    <t>Aerodynamics--Computer Simulation; Heat Transfer--Convection; Moisture--Mass Transfer; Building Heat Losses; Building Structure Hygrothermal Performance; Computer-Aided Air Convection Analysis; Light-Weight Building Structures; Buildings</t>
  </si>
  <si>
    <t>2-s2.0-0024859747</t>
  </si>
  <si>
    <t>TenWolde A.; Carll C.G.; Malinauskas V.</t>
  </si>
  <si>
    <t>Air pressures in wood frame walls</t>
  </si>
  <si>
    <t>https://www.scopus.com/inward/record.uri?eid=2-s2.0-85030983909&amp;partnerID=40&amp;md5=d5e9289542fdf6b1e0c381343379b14b</t>
  </si>
  <si>
    <t>Wind pressures can play an important role in the wetting of exterior walls (driving rain). In response, the rain screen concept, including compartmentalization and air spaces, has been developed to provide pressure equalization and limit water entry into the wall. However, conventional construction such as wood lap siding has not been evaluated as to its ability to function as a rain screen. As part of a two-year project assessing the performance of hardboard lap siding, we measured air pressure differences across the siding over extended periods of time in two single-story wood-frame buildings, specially constructed for this study in southern Florida. Three different wall constructions were included in the study. We found that the conventionally installed lap siding provided substantial air pressure equalization. Inward air pressure differences across the siding did not appear strong enough, or long enough in duration, to raise concern about significant water penetration through the siding overlaps, even during windy days. Air leakage has been recognized as an important mode of water vapor transport, and airtight construction is therefore recognized as an important ingredient of designing for high moisture tolerance. As part of the same study, we monitored air pressures across the siding, sheathing, and gypsumboard in two of the walls. We found that wind-induced air pressures across the exterior walls were predominantly exfiltrative, even on the windward side of the building. Infiltrative pressures only occurred near windward corners of the building during short periods of time. We also found significant air leakage past the top plate into the wall cavity. This paper also presents a method for coordinating the design for airtightness (airflow retarders) with the design for control of vapor diffusion (vapor retarders). The calculations show that a vapor retarder of 1 perm (57 ng/Pa s m2) should be complemented with an air barrier system (ABS) with an ELA of 0.003 in.2/ft2 (2×10-5 m2/m2) or less. Specifying lower-perm vapor retarders (e.g., 0.1 perm, or 5.7 ng/Pa s m2) would require specifying an extraordinary level of airtightness. © 1998 American Society of Heating, Refrigeration, and Air-Conditioning Engineers (ASHRAE). All rights reserved.</t>
  </si>
  <si>
    <t>1997 ASHRAE handbook—Fundamentals, (1997); Burch D.M., Chi J., MOIST—A PC program for predicting heat and moisture transfer in building envelopes, release 3.0, (1997); CMHC Research Project—Testing of Air Barriers Construction Details, (1991); Di Lenardo B., Brown W.C., Dalgleish W.A., Kumaran K., Poirier G.F., Technical guide for air barrier systems for exterior walls of low-rise buildings, (1995); An air barrier system for the building envelope, Proceedings of Building Science Insight, 86, (1989); TenWolde A., Carll C., The effect of cavity ventilation on moisture in walls and roofs, Thermal Performance of the Exterior Envelopes of Buildings V, pp. 555-562, (1992); TenWolde A., Carll C., Malinauskas V., Airflows and moisture conditions in walls of manufactured homes, Airflow Performance of Building Envelopes, ASTM STP 1255, pp. 137-155, (1995)</t>
  </si>
  <si>
    <t>2-s2.0-85030983909</t>
  </si>
  <si>
    <t>Antretter F.; Karagiozis A.; TenWolde A.; Holm A.</t>
  </si>
  <si>
    <t>Effects of air leakage of residential buildings in mixed and cold climates</t>
  </si>
  <si>
    <t>https://www.scopus.com/inward/record.uri?eid=2-s2.0-85067126041&amp;partnerID=40&amp;md5=43aaa8791e7a0bff79b4d09657567e23</t>
  </si>
  <si>
    <t>This paper deals with the effects of air leakage in residential buildings and provides an overview of the influence of air leakage on the measured performance of the interior temperature and relative humidity in two very different US climate zones (IECC zone 4, Knoxville) and (IECC zone 6, Madison). The air leakage of residential buildings depends on a number of factors like building age, volume or the climate zone, as it is a common assumption that in colder climate zones more importance is attached to airtight buildings than in warmer climates. To quantify these differences and to show the dependence of air leakage on various influences an investigation in occupied buildings has been carried out. The air tightness of a number of homes in the mixed climate of eastern Tennessee and in the cold climate of south-central Wisconsin was measured on a seasonal basis. The interior conditions were monitored for each of the homes to investigate the link to the respective air leakage of the buildings. The results show that an estimation of the air leakage of residential buildings can be made with knowledge of some simple boundary conditions. Seasonal changes do not have a significant influence on the air leakgage. This information is critical for developing reasonable boundary conditions for hygrothermal models. © 2007, American Society of Heating, Refrigerating and Air-Conditioning Engineers, Inc.</t>
  </si>
  <si>
    <t>American Society for Heating, (2005); Air Leakage Performance for Detached Single_family Residential Buildings, (1988); Test Method for Determining Air Leakage by Fan Pressurization, ASTM Bood of Standards, 4, 11, (2000); Standard Test Methods for Determining Airtightness of Buildings Using an Orifice Blower Door, ASTM Bood of Standards, 4, 11, (2002); Basset M., The Infiltration Component of Ventilation in New Zealand Houses, proceedings: Ventilation Strategies and Measurement Techniques, 6th Air Infiltration and Ventialtion Centre Conference, the Netherlands, (1985); Determination of the Airtightness of Building Envelopes by Fan Depressurization Method, (1986); Chan W.R., Price P.N., Sohn M.D., Gadgil A.J., Analysis of U.S. Residential Houses Air Leakage Database, (2003); Verordnung über energiesparenden Wärmeschutz und energiesparende Anlagentechnik bei Gebäuden, (2002); Harrje D.T., Dutt G.S., Beya J.E., Locating and Eliminating Obscure, but Major Energy Losses in Residential Housing, ASHRAE Trans, V85, pp. pp521-pp534, (1979); Kunzel H.M., Radon J., WUFI+ 1.0. Rechenprogramm zur instationären Berechnung des Wärmeund Feuchteverhaltens von Räumen, (2002); Thermal Insulation - Determination of Building Air Tightness – Fan Pressurization Method, (1996); Kronvall J., Air Tightness Measurements and Measurement Methods, (1980); Karagiozis A.N, Holm A., WUFI/ ORNL/IBP. A hygrothermal design tool for architects and engineers, (2001); McWilliams J., Jung M., Development of a Mathematical Air-Leakage Model from Measured Data, (2006); Orme M., Liddament M., Wilson A., An Analysis and Data Summary of the AIVC's Numerical Database, (1994); Sherman M.H., A Power Law Formulation of Laminar Flow in Short Pipes, J Fluids Eng, 114, 4, pp. pp601-pp605, (1992); Sherman M.H., Air Tightness of New U.S. Houses: A Preliminary Report, (2002); Sherman M.H., Air Tightness of US Homes: Model Development, (2006); Sherman M.H., Chan W.R., Building Airtightness: Research and Practice, (2004); Sherman M.H., Wilson D.J., Relating Actual and Effective Ventilation in Determining Indoor Air Quality, Energy and Buildings, 21, 3, (1986)</t>
  </si>
  <si>
    <t>2-s2.0-85067126041</t>
  </si>
  <si>
    <t>Rudd A.</t>
  </si>
  <si>
    <t>Field Performance of Unvented Cathedralized (UC) Attics in the USA</t>
  </si>
  <si>
    <t>29</t>
  </si>
  <si>
    <t>10.1177/1744259105057695</t>
  </si>
  <si>
    <t>https://www.scopus.com/inward/record.uri?eid=2-s2.0-84990321060&amp;doi=10.1177%2f1744259105057695&amp;partnerID=40&amp;md5=5ef0b99be402e71b0b00a3afe6f40f73</t>
  </si>
  <si>
    <t>This article reports on field experience of unvented cathedralized (UC) attics in several environments in the United States. Traditionally, in some regions of the country, because of high water tables or the risk of flash flooding and lower cost, slab on grade construction is a preferred mode of construction. Mechanical equipment for air conditioning and distribution ducts are usually located in the attic spaces to conserve space. Conventional construction involves providing insulation on the floor of the attic and venting the attic space to the outside. The loss in efficiency in operation of the equipment and through duct leakage is no longer sustainable. Insulating the attic roof itself and blocking of ventilation to the outside transfers the air and thermal energy controls from the boundary with the living space to the plane of the roof. The air distribution systems now fall within conditioned space, which increases their efficiency, durability, and maintainability. While design criteria vary for different climatic regions, UC attics can be insulated in various ways and by using different vapor diffusion resistance strategies of the roof assemblies depending on the climate. The field data presented in this article include measured temperature of asphalt shingles, and thermal and moisture conditions of attic spaces and roof sheathing, as well as air leakage rates. This is of interest for determining probable roofing durability. A more complete understanding of the hygrothermal performance of the assemblies was gained through these measurements. © 2000, Sage Publications. All rights reserved.</t>
  </si>
  <si>
    <t>air leakage; attic venting; attics; building durability; building enclosure; duct leakage; energy efficiency; infiltration; roof; roof assembly; roof sheathing; roof sheathing moisture content; roof sheathing temperature; shingle temperature; unvented attics; unvented cathedralized attics</t>
  </si>
  <si>
    <t>Standard Test Method for Determining Rate of AirLeakage Through Exterior Windows, Curtain Walls, and Doors Under SpecifiedPressure Differences Across the Specimen, (2004); Cash C.C., Lyon E.G., What’s the Value of Ventilation?, Professional Roofing, March, pp. 20-26, (2002); Hedrick R., Integrated Design of Residential Ducting and AirflowSystems: Building Homes with Ducts in Conditioned Space, (2003); Hendron R., Farrar-Nagy S., Anderson R., Reeves P., Hancock E., Thermal Performance of Unvented Attics in Hot-dry Climates: Results fromBuilding America, Proceedings of the ISEC 2003: International Solar EnergyConference, American Society of Mechanical Engineers, pp. 73-80, (2003); Lstiburek J., Humidity Control in the Humid South, Proceedings of Bugs, Mold &amp; Rot II, BuildingEnvironment and Thermal Envelope Council, National Institute of BuildingSciences, (1993); Lstiburek J., Builder’s Guide, (1997); Petrie T.W., Stovall T.K., Wilkes K.E., Desjarlais A.O., Comparison of Cathedralized Attics to ConventionalAttics: Where and When do Cathedralized Attics Save Energy and OperatingCosts?, (2004); Parker D.S., Sherwin J.R., Comparative Summer Attic Thermal Performance ofSix Roof Constructions, ASHRAE Transactions, TO-98-17-3, (1998); Rose W.B., Attic Construction with Sheathing-appliedInsulation, ASHRAE Transactions, 101, 2, (1995); Rose W.B., TenWolde A., Venting of Attics and Cathedral Ceilings, ASHRAE Journal, (2002); Rudd A.F., Lstiburek J.W., Vented and Sealed Attics in Hot Climates, ASHRAE Transactions, (1998); Rudd A.F., Lstiburek J.W., Moyer N.A., Measurement of Attic Temperatures and Cooling Energy use in Vented andSealed Attics in Las Vegas, Nevada, Proceedings: ’96 Excellence in BuildingConference, Energy Efficient Building Association, (1996); Rudd A.F., Lstiburek J.W., Ueno K., UC Attics: Where we’ve been and Where we’re going, Proceedings of the 2000 ACEEE Summer Study on EnergyEfficiency in Buildings, American Council for an Energy EfficientEconomy, (2000); TenWolde A., Rose W.B., Issues Related to Venting of Attics and CathedralCeilings, ASHRAE Transactions, 105, Part 1, (1998); Walker I., Investigation of the Energy Impacts of RequiringSupply Air to Unvented Attic Spaces to Obtain Credit for having Ducts insideConditioned Space, (2004)</t>
  </si>
  <si>
    <t>2-s2.0-84990321060</t>
  </si>
  <si>
    <t>Finch G.; Straube J.</t>
  </si>
  <si>
    <t>Ventilated wall claddings: Review, field performance, and hygrothermal modeling</t>
  </si>
  <si>
    <t>https://www.scopus.com/inward/record.uri?eid=2-s2.0-85102993957&amp;partnerID=40&amp;md5=6905e2ee8442d2e9ba21bc1e0f9e9583</t>
  </si>
  <si>
    <t>The use of ventilated air spaces behind claddings has been shown to influence the performance of some wall assemblies. Recently completed field and laboratory research has shown that cladding ventilation has the potential to increase drying and reduce wetting from absorptive claddings and sun-driven moisture. The use of one-dimensional hygrothermal simulation software has been well established for a wide range of wall and roof assemblies. However, the use of such software has previously had a limited ability to accurately model the physics of enclosures with ventilated claddings. The most recent version of WUFI 4.1 (a widely used hygrothermal simulation package) adds the ability to model enclosure systems that incorporate embedded sources and sinks of moisture and heat. This capability can be used to model source effects, such as air and rain leakage within a wall assembly, or sinks, such as drainage and ventilation. This paper investigates the use of the WUFI “source and sink” approach in a one-dimensional model to simulate ventilation and rain leakage behind claddings. The simulation predictions are compared to the field performance of several different wall assemblies. Lessons learned on the use of this new model will be discussed. The impact of such effects as rainwater leaks and cladding ventilation rates are also investigated. © 2007, American Society of Heating, Refrigerating and Air-Conditioning Engineers, Inc.</t>
  </si>
  <si>
    <t>2005 ASHRAE Handbook—Fundamentals, (2005); BSR/ASHRAE Standard 160P, Design Criteria for Moisture Control in Buildings; Barrett D., The renewal of trust in residential construction—Part 1, (1998); Bassett M.R., McNeil S., Measured ventilation rates in water managed wall cavities, Proceedings from the 3rd International Building Physics Conference, pp. 403-410, (2006); Burnett E., Reynolds A., Final report—Ontario wall drying study, (1991); Burnett E., Straube J., Karagiozis A., Synthesis report and guidelines, (2004); Brown W., Adams P., Tonyan T., Ullett J., Water management in exterior wall claddings, Journal of Thermal Insulation and Building Envelopes, 21, pp. 23-43, (1997); Brown W., Chouinard K., Lawton M., Patenaude A., Vlooswyk J., Field experience with moisture management—Putting principals into practice, Building Science Insight Proceedings of the Seminar Series, (2003); Crandell J., Kenney T., Investigation of Moisture Damage in Single-Family Detached Houses Sided with Exterior Insulation Finish Systems in Wilmington, NC, (1996); Finch G., The performance of rainscreen walls in coastal British Columbia, (2007); Finch G., Straube J., Hubbs B., Hygrothermal performance and drying potential of wood frame rainscreen walls in Vancouver’s coastal climate, Proceedings from 11th Canadian Conference on Building Science and Technology, (2007); Finch G., Straube J., Richmond M., Field performance of spray polyurethane foam: The role of vapour diffusion control, Proceedings from 11th Canadian Conference on Building Science and Technology, (2007); Forest T., Walker I., Drying of walls—Prairie region, (1990); Envelope drying rates experiment, (2001); Karagiozis A., Benchmarking of the moisture-expert model for ventilation drying, (2004); Karagiozis A.N., Kunzel H.M., Holm A., WUFI-ORNL/IBP—A North American hygrothermal model, Proceedings of the Performance of Exterior Envelopes of Whole Buildings VIII, (2001); Kehrer M., Personal communication regarding WUFI 4.1 BETA program using sources and sinks, (2006); Kunzel H.M., Effect of interior and exterior insulation on the hygrothermal behaviour of exposed walls, Materials and Structures, 31, pp. 99-103, (1998); Kunzel H.M., More moisture load tolerance of construction assemblies through the application of a smart vapor retarder, Proceedings of the Performance of Exterior Envelopes of Whole Buildings VIII, pp. 1129-1132, (1998); Moisture induced problems in NHA housing—Parts 1, 2 and 3, (1983); Mayer E., Kunzel H., Untersuchungen über die notwendige hinterlüftung an auenwandbekeidung aus groformatigen bauteilen, (1983); McCuaig L., Final report on the drying of walls—Atlantic Canada 1987, (1988); McNeil S., Bassett M., Moisture recovery rates for walls in temperate climates, Proceedings from 11th Canadian Conference on Building Science and Technology, (2007); Hershfield Morrison, Moisture in Canadian wood-frame house construction: Problems, research and practice from 1975 to 1991, (1992); Hershfield Morrison, Survey of building envelope failures in the coastal climate of British Columbia, (1996); Hershfield Morrison, Stucco-clad wall drying experiment, (1999); National Building Code of Canada, (2005); Pinon J.P., Burnett E.F.P., Davidovic D., Srebric J., The airflow characteristics of ventilated cavities in screen type enclosure wall systems, Proceedings of the Performance of Exterior Envelopes of Whole Buildings IX, (2004); Popp W., Mayer E., Kunzel H., Untersuchungen über die belüftung des luftraumes hinter vorgesetzten fassadenbekleidung aus kleinformatigen elementen, (1980); Study of high-rise envelope performance in the coastal climate of British Columbia, (2001); Performance monitoring of rainscreen wall assemblies in Vancouver, British Columbia, (2005); Schumacher C., Shi X., Davidovic D., Burnett E., Straube J., Ventilation drying in wall systems, Proceedings of the 2nd International Conference on Building Physics, (2003); Shi X., Schumacher C., Burnett E., Ventilation drying under simulated climate conditions, (2004); Smegal J., Drainage and drying of small gaps in wall systems, (2006); Stovall T.K., Karagiozis A., Airflow in the ventilation space behind a rainscreen wall, Proceedings of the Performance of Exterior Envelopes of Whole Buildings IX, (2004); Straube J.F., Moisture control and enclosure wall systems, (1998); Straube J., Burnett E., Vents, ventilation, and pressure moderation, (1995); Straube J., Burnett E., Building Science for Building Enclosures, (2005); Straube J.F., Schumacher C.J., Hygrothermal enclosure models: A comparison with field data, Proceedings of the 2nd International Conference on Building Physics, pp. 319-326, (2003); Straube J., Onysko D., Schumacher C., Methodology and design of field experiments for monitoring the hygrothermal performance of wood frame enclosures, Journal of Thermal Insulation and Building Envelopes, 26, 2, pp. 123-151, (2002); Straube J.F., Burnett E., VanStraaten R., Schumacher C., Review of literature and theory, (2004); TenWolde A., Carll C., Effect of cavity ventilation on moisture in walls and roofs, Proceedings of the Thermal Performance of the Exterior Envelopes of Buildings V, pp. 555-562, (1992); TenWolde A., Carll C., Malinauskas V., Airflows and moisture conditions in walls of manufactured homes, Airflow Performance of Building Envelopes, Components and Systems, pp. 137-155, (1995); VanStraaten R., Measurement of ventilation and drying of vinyl siding and brick clad wall assemblies, (2004)</t>
  </si>
  <si>
    <t>2-s2.0-85102993957</t>
  </si>
  <si>
    <t>IBPSA 2005 - International Building Performance Simulation Association 2005</t>
  </si>
  <si>
    <t>Salonvaara M.H.; Ojanen T.T.; Kokko E.; Karagiozis A.N.</t>
  </si>
  <si>
    <t>Drying capabilities of wood frame walls with wood siding</t>
  </si>
  <si>
    <t>https://www.scopus.com/inward/record.uri?eid=2-s2.0-67651167274&amp;partnerID=40&amp;md5=b37dd69568f23119bf23a3cbfd7773d8</t>
  </si>
  <si>
    <t>The hygrothermal performance of wood siding and exterior sheathing and the need of cavity ventilation for wood frame wall systems has been investigated. The aim of this preliminary study was to investigate various design strategies to improve the drying performance and capabilities of wood frame wall systems. A moisture engineering approach was undertaken by conducting a combination of laboratory experiments and advanced computer simulations. The intent of the work was to investigate the heat and moisture performance as affected by variations in the wall design. Several different walls systems with wood siding were constructed that included different material layers as exterior sheathing, different insulation materials, and wall systems that incorporated air cavity ventilation and others that did not incorporate a cavity between the wood siding and the exterior sheathing. Laboratory experiments were carried out to examine the hygrothermal performance of the walls exposed to different exterior and interior boundary conditions. The drying capabilities of the walls and their ability to recover from moisture loads caused by vapor convection and diffusion were investigated. The information generated from the laboratory experiments was subsequently analyzed by advanced computer modeling, and additional simulations were performed to determine the response of various wall systems using realistic environmental conditions. The experiments were also numerically simulated for the same laboratory conditions. In general, when comparing the numerical and experimental results, good agreement was observed, both indicating similar trends in the hygrothermal behavior. But at the same time, some anomalous results were also found that were initially believed to be due to anomalies within details of the wall structures but were later found to be caused by spurious values in the prescribed boundary conditions. The different requirements due to actual climatic boundary conditions were addressed by selecting exterior data from a cold climate. The analysis developed preliminary information in terms of guidelines and practices for acceptable thermal and moisture performance of wood frame walls. The hygrothermal performance of exterior sheathing materials, their effect on wall moisture performance, and the ability of the structure to dry out moisture from possible leaks (or initial construction moisture) need further research to establish guidelines applicable for a wider range of climates. Even today, many examples of moisture-related problems exist in the literature, some of which have been attributed to improper design of the cladding system. This paper attempts to shed some light on the issues and concerns of the drying performance of wood frame wall systems exposed to cold climates. © 1998 American Society of Heating, Refrigeration, and Air-Conditioning Engineers (ASHRAE). All rights reserved.</t>
  </si>
  <si>
    <t>Builder’s manual, (1995); CMHC/CHBA joint task force on moisture problems in Atlantic Canada, (1988); Final report, Wood siding moisture monitoring, (1988); Drying characteristics in timber frame walls of low-rise residential housing, (1988); Geving S., Air velocities in wall cavities, (1998); Hens H., Janssens A., Inquiry on HAMCAT CODES, International Energy Agency, Heat, Air and Moisture Transfer in Insulated Envelope Parts, (1993); Hukka A., Viitanen H., A mathematical model of mould growth on wooden material, (1998); Karagiozis A., Salonvaara M., Kumaran K., LATENITE hygrothermal material property database, IEA Annex 24 Report T1-CA-94/04, (1994); Fire stops in walls, Construction Innovation, 3, 3, (1998); Ojanen T., Kumaran M.K., Air exfiltration and moisture accumulation in residential wall cavities, Thermal Performance of the Exterior Envelopes of Buildings V, pp. 491-500, (1992); Salonvaara M., Karagiozis A., Moisture transport in building envelopes using an approximate factorization solution method, Proceedings of the Second Annual Conference of the CFD Society of Canada, (1994); TenWolde A., Carll C., Malinauskas V., Airflows and moisture conditions in walls of manufactured homes, Airflow performance of building envelopes, components, and systems, pp. 137-155, (1995); Uvslokk S., The importance of wind barriers for insulated timber frame constructions, Journal of Thermal Insulation and Building Envelopes, 20, pp. 40-62, (1996)</t>
  </si>
  <si>
    <t>2-s2.0-67651167274</t>
  </si>
  <si>
    <t>Van Schijndel A.W.M.J.; Hensen J.L.M.J.</t>
  </si>
  <si>
    <t>Integrated heat, air and moisture modeling toolkit in matlab</t>
  </si>
  <si>
    <t>https://www.scopus.com/inward/record.uri?eid=2-s2.0-49949100577&amp;partnerID=40&amp;md5=9dc9aa3e540a01b19567158fd42bb105</t>
  </si>
  <si>
    <t>This paper gives an overview of recent developments and results of a new integrated heat, air and moisture (HAM) modeling toolkit in Matlab named HAMLab. The recent developments include integration of a whole building model with building systems and controllers, 2D/3D HAM transport in constructions and 2D airflow respectively. The results include a short review on HAM models, a motivation of the selected simulation environment Matlab and extensive verification/ validation results. Furthermore, the integration capabilities are demonstrated by applications. It is concluded that the simulation environment HAMLab is capable of solving a large scale of integrated HAM models. Limitations, benefits and drawbacks are discussed.</t>
  </si>
  <si>
    <t>Circuit simulation; Software engineering; Building model; Building systems; Integrated heat; Integration capability; Moisture modeling; Simulation environment; Validation results; MATLAB</t>
  </si>
  <si>
    <t>Standard method of test for the evaluation of building energy analysis computer programs, (2001); Augenbroe G., Trends in building simulation, Building and Environment, 37, pp. 891-902, (2002); Brocken H., Moisture transport in brick masonry, (1998); Clarke J.A., Domain integration in building simulation, Building and Environment, 33, pp. 303-308, (2001); Djunaedy E., External coupling between building energy simulation and computational fluid dynamics, (2005); Felsmann C., Knabe G., Werdin H., Simulation of domestic heating systems by integration of TRNSYS in a MATLAB/SIMULINK model, Proc. 6TH Int. Conference System Simulation in Buildings Liege, December 16-18, (2002); Gouda M.M., Underwood C.P., Danaher S., Modelling the robustness properties of HVAC plant under feedback control, Building Serv, Eng. Res. Techn, 24, 4, pp. 271-280, (2003); Gough M.A., A review of new techniques in building energy and environmental modelling, BRE Contract No, (1999); HAMSTAD-Final Report, Report R-02:8, (2002); Hensen J., Djunaedy E., Radosevic M., Yahiaoui A., Building performance simulation for better design: Some issues and solutions, 21TH PLEA Conference Eindhoven, IEA Annex 41 2005, (2004); Kunzel H.M., IEA Annex 24 HAMTIE, Final Report-Task 1, (1996); Sahlin P., Eriksson L., Grozman P., Johnson H., Shapovalov A., Vuolle M., Whole-building simulation with symbolic DAE equations and general purpose solvers, Building and Environment, 39, pp. 949-958, (2004); Schellen H.L., Heating Monumental Churches, Indoor climate and preservation of cultural heritage, (2002); van Schijndel A.W.M., de Wit M.H., A Building Physics Toolbox in MatLab, 5th Building Physics in the Nordic Countries Conference, pp. 81-88, (1999); Van Schijndel A.W.M., Modeling and solving building physics problems with FemLab, Building and Environment, 38, pp. 319-327, (2003); van Schijndel A.W.M., Schellen H.L., Neilen D., Optimal setpoint operation of the climate control of a monumental church, 2ND international conf. on research in building physics, Leuven, Sept. 14-18, pp. 777-784, (2003); Van Schijndel A.W.M., De Wit M.H., Advanced simulation of building systems and control with SimuLink, 8TH IBPSA Conference Eindhoven, pp. 1185-1192, (2003); Van Schijndel A.W.M., Integrated building physics simulations with FemLab/SimuLink /Matlab, 8TH Int, IBPSA Conference, Eindhoven, pp. 1177-1184, (2003); van Schijndel A.W.M., Advanced use of HAMLab on CE1, (2004); van Schijndel A.W.M., Application of HAMLab on Subtask 3, (2005); Van Schijndel A.W.M., Schellen H.L., Application of an integrated indoor climate &amp; HVAC model for the indoor climate design of a museum, Submitted for the 7TH symposium on building physics in the Nordic Countries, 13-15 June 2005, Iceland, (2005); Schwab M., Simonson C.J., Review of building energy simulation tools that include moisture storage in building materials and HVAC systems, (2004); Sinha S.L., Numerical simulation of twodimensional room air flow with and without buoyancy, Energy and Buildings, 32, pp. 121-129, (2000); U.S. Department of Energy, (2005); De Wit M.H., Driessen H.H., ELAN A Computer Model for Building Energy Design, Building and Environment, 23, 4, pp. 285-289, (1988); De Wit M.H., WAVO, A model for the simulation of thermal and hygric performance of building and systems, (2004)</t>
  </si>
  <si>
    <t>2-s2.0-49949100577</t>
  </si>
  <si>
    <t>Lstiburek J.; Pressnail K.; Timusk J.</t>
  </si>
  <si>
    <t>10.1177/109719602765071658</t>
  </si>
  <si>
    <t>Lstiburek J.W.</t>
  </si>
  <si>
    <t>The pressure response of buildings</t>
  </si>
  <si>
    <t>https://www.scopus.com/inward/record.uri?eid=2-s2.0-34347220639&amp;partnerID=40&amp;md5=1b85bca8a473e5a23e5026571c390e02</t>
  </si>
  <si>
    <t>Airflow in buildings is one of the major factors that governs the interaction of the building structure with the mechanical system, climate, and occupants. If the airflow at any point within a building or building assembly can be determined or predicted, the temperature and moisture (hygrothermal or psychometric) conditions can also be determined or predicted. If the hygrothermal conditions of the building or building assembly are known, the performance of materials can also be determined or predicted. This paper shows that airflow in buildings is complex, time dependent, and multidirectional. The understanding of airflow throu gh and within buildings has been based on the requirement for continuity of mass and momentum caused by wind forces, thermal effects (stack action), and forces associated with the operation of mechanical cooling, heating, exhaust, and other ventilation systems. Interstitial airflow and interstitial air pressure fields are not often considered. Building analysis typically develops the building pressure field from the airflow field. In doing so, exterior and interior walls, floors, and roof assemblies are either considered as monolithic or having openings resulting in flow across the specific assemblies. This paper shows that many problems associated with pollutant transfer and the spread of smoke and fire cannot be explained by cross-assembly (one-dimensional) airflow as well as such moisture effects as microbial contamination, corrosion, and biological decay. Even the analysis of energy consumption and comfort within buildings needs to be considered in terms of multidirectional airflow. This paper shows that buildings typically comprise multi-layer envelope assemblies with numerous air gaps or void spaces that are often connected to service chases. Complex three-dimensional flow paths and intricate air pressure relationships must be considered. This paper also introduces an alternative pattern of analysis: developing the flow field, the leakage areas, and the flow relationships from the measured building pressure field— the air pressure regime within and surrounding the building. This approach accounts for interstitial air pressure fields and resulting interstitial airflows. It provides a powerful diagnostic tool for solving many of the problems related to direct and indirect effects of airflows. © 1998 American Society of Heating, Refrigeration, and Air-Conditioning Engineers (ASHRAE). All rights reserved.</t>
  </si>
  <si>
    <t>Phase I—Collaborative design project Elliot Lake housing, Evaluation of existing experience in building construction relative to indoor radon levels, (1981); 1997 ASHRAE Handbook—Fundamentals, (1997); Currie I.G., Fundamental mechanics of fluids, (1974); Barker A.H., The theory and practice of heating and ventilation, (1912); Blasnik M., Personal communication, (1988); Blasnik M., Fitzerald J., Pressure diagnostics—Diagnosing complex air leakage paths: A new approach using blower door induced pressures, (1992); Burnett E., Straube J., Vents, ventilation drying and pressure moderation, (1995); Dalgliesh W.A., Wind loads on low buildings, (1981); Dalgliesh W.A., Schriever W.R., Wind Pressures on Buildings, Canadian Building Digest 34, (1962); Davenport A.G., Wind loads on structures, NRCC 5576, (1960); Davenport A.G., Hui H.Y., External and internal wind pressures on claddings of buildings, (1982); Davenport A.G., Isyumov N., The application of the boundary layer wind tunnel to the prediction of wind loading, Proceedings, International Research Seminar on Wind Effects on Building Structures, (1967); Emswiler J.E., The neutral zone in ventilation, ASHVE Journal, 32, (1926); Garden G.K., Rain Penetration and Its Control, Canadian Building Digest 40, (1963); Handegord G.O., CLIMA 2000, (1989); Harrje D.T., Gadsby K.J., Cromer C.J., Transients and physics of return air, Proceedings of the Air Movement and Distribution Conference, (1986); Hutcheon N.B., Handegord G.O., Building science for a cold climate, (1983); Kronvall J., Air flows in building components, (1980); Larson G.L., Air infiltration through various types of brick wall constructions, ASHVE Transactions, 35, pp. 55-58, (1929); Lstiburek J.W., Lee M.A., Moisture remediation, (1988); Lstiburek J.W., Holiday Inn, (1989); Lstiburek J.W., Humidity control in the humid South, Workshop Proceedings, Bugs, Mold &amp; Rot II, (1993); Lstiburek J.W., Moyer N.A., Lakeland Nursing Home, (1991); Nelson B.D., Robinson D.A., Nelson G.D., Hutchinson M., Energy efficient house, (1986); Nylund P.O., Vindtathet hos fierskiktsvaggar (The windtightness of multi-layer walls), (1966); Nylund P.O., Infiltration and ventilation, Report D22: 1980, (1980); Quirouette R.L., The dynamic buffer zone wall system, Energy Efficient Building Association Annual Conference, (1997); Sauer H.J., Howell R.H., Principles of heating, ventilating, and air conditioning, (1990); Scott A.G., Comments on subfloor ventilation, Proceedings of the II Workshop on Radon and Radon Daughters in Urban Communities Associated with Uranium Mining and Processing, (1979); Steel F., Airtight houses and carbon monoxide poisoning, Canadian Building Digest 222, (1982); Stathopoulos T., Surry D., Davenport A.G., Internal pressure characteristics of low rise buildings due to wind action, Proceedings of the Fifth International Conference on Wind Engineering, (1979); Stricker S., Measurement of airtightness of houses, ASHRAE Transactions, 81, 1, pp. 148-167, (1975); Swami H.V., Chandra S., Procedures for valculating natural ventilation airflow rates in buildings, (1987); Tamura G.T., Wilson A.G., Air leakage and pressure measurements in two occupied houses, ASHRAE Transactions, 70, pp. 110-119, (1964); Tamura G.T., Wilson A.G., Pressure differences for a nine-story building, A result of chimney effect and ventilation system operation, ASHRAE Transactions, 72, (1966); Timusk J., Personal communication, (1983); Timusk J., Design, construction and performance of a dynamic wall house, 8th Air Infiltration Centre Conference, (1987); Timusk J., Seskus A.L., Ary N., Control of wind cooling of wood frame building enclosures, Excellence in Housing Conference, (1988); Tooley J.J., Davis B.E., Power attic ventilation—Another applied building science nightmare and treasure trove, (1994); Tooley J.J., Moyer N.A., Mechanical air distribution and interacting relationships, Florida Home Energy Reviews of Orlando, (1988); Tooley J.J., Moyer N.A., Personal communication, (1989); Walton G.N., Airflow network models for element-based airflow modeling, ASHRAE Transactions, 95, 2, (1989); Walton G.N., CONTAM96, (1997); White J., Ventilation in troubled houses - status and trends, (1983)</t>
  </si>
  <si>
    <t>2-s2.0-34347220639</t>
  </si>
  <si>
    <t>Wang J.</t>
  </si>
  <si>
    <t>Heat and mass transfer in built structures - Numerical analyses</t>
  </si>
  <si>
    <t>Doktorsavhandlingar vid Chalmers Tekniska Hogskola</t>
  </si>
  <si>
    <t>1951</t>
  </si>
  <si>
    <t>https://www.scopus.com/inward/record.uri?eid=2-s2.0-0037696626&amp;partnerID=40&amp;md5=091ce7ea22fd0b5a7de18d02301872d1</t>
  </si>
  <si>
    <t>Two types of problems were examined to contribute to knowledge of simulating the combined heat and mass transport processes in built structures and the numerical strategies for simulations. One is about thermal aging of gas-filled insulation foams, and the other is about the hygrothermal performance of building envelope components. In the study on thermal aging of gas-filled insulation forms, a simplified model was developed for predicting the aging behavior and long-term thermal performance of gas-filled insulating foams. In the study on combined heat, air and moisture transport in building envelope components, a simplified model aimed at evaluating the thermal and moisture effects of air convection on the hygrothermal performance of building envelops was developed.</t>
  </si>
  <si>
    <t>Air and moisture transport; Air convection; Gas-filled foam; Heat; Long-term thermal performance; Numerical procedure; Numerical stability; Simulation; Thermal aging</t>
  </si>
  <si>
    <t>Aging of materials; Composition; Convergence of numerical methods; Diffusion; Foams; Heat transfer; Mass transfer; Moisture; Numerical analysis; Phase transitions; Thermal conductivity; Thermal effects; Built structures; Gas filled insulation foam; Hygrothermal performance; Moisture effects; Thermal aging; Structures (built objects)</t>
  </si>
  <si>
    <t>Svanstrom M., Blowing agents in rigid polyurethane foam, (1997); Andersson S., Ramnas O., Rydberg T., A study of the use of HCFCs as insulating gas in polymeric materials in comparison with other alternatives, (1992); Brodt K.H., Thermal insulations: CFC-alternatives and vacuum insulation, (1995); Bomberg M., Brandreth D.A., Evaluation of long-term thermal resistance of gas-filled foams: State of the art, insulation materials, testing and applications, pp. 156-173, (1990); Jarfelt U., Thermal conductivity and gas diffusion of rigid PUR foam, (1995); Bomberg M., A model of aging for gas-filled cellular plastics, Journal of Cellular Plastics, 24, pp. 327-347, (1988); Du Cauze De Nazelle G.M.R., Thermal conductivity aging of rigid closed cell polyurethane foams, (1995); Boetes R., Heat transfer reduction in closed cell polyurethane foams, (1996); Norton F.J., Thermal conductivity and life of polymer foams, Journal of Cellular Plastics, pp. 23-27, (1967); Ostrogorsky A.G., Glicksman L.R., Reitz D.W., Aging of polyurethane foams, International Journal of Heat and Mass Transfer, 29, 8, pp. 1169-1176, (1986); Smits G.F., Thoen J.A., Computer modelling of heat transfer through rigid polyurethane foam, Proceedings of the 1st International Workshop on Long-Term Thermal Performance of Cellular Plastics, Session E, SPI Canada, Ontario, Canada, (1989); Bart G.C.J., Du Cauze De Nazelle G.M.R., Certification of thermal conductivity aging of PUR foam, Journal of Cellular Plastics, 29, pp. 29-42, (1993); Cuddihy E.F., Moacanin J., Diffusion of gases in polymeric foams, Journal of Cellular Plastics, pp. 73-80, (1967); Ostrogorsky A.G., Glicksman L.R., Laboratory tests of the effectiveness of diffusion barriers, Journal of Cellular Plastics, 22, pp. 303-313, (1986); Svanstrom M., Ramnas O., Olsson M.E., Jarfelt U., Mass transfer of carbon dioxide through the polyethylene casing of district heating pipes, Journal of Thermal Insulation and Building Envelopes, 21, (1997); Svanstrom M., Ramnas O., Olsson M.E., Jarfelt U., Determination of effective diffusion coefficients in rigid polyurethane foam, Cellular Polymers; Dammers A.J., Du Cauze De Nazelle G.M.R., Efficient computation of gas transfer phenomena through rigid closed cells insulating foams, Proceedings of the 1st International Workshop on Long-Term Thermal Performance of Cellular Plastics, Session B, SPI Canada, Ontario, Canada, (1989); Glicksman L.R., Page M., Aging of foam, Proceedings of the 2nd International Workshop on Long-Term Thermal Performance of Cellular Plastics, Session E, SPI Canada, Niagara-on-the-Lake, Canada, (1991); Norton F.J., Diffusion of chlorofluorocarbon gases in polymer films and foams, Journal of Cellular Plastics, pp. 300-318, (1982); Du Cauze De Nazelle G.R.M., Bart G.C.J., Dammers A.J., A fundamental understanding of the thermal conductivity aging of PUR foams, Proceedings of the 2nd International Workshop on Long-Term Thermal Performance of Cellular Plastics, Session E, SPI Canada, Niagara-on-the-Lake, Canada, (1991); Crank J., McFarlane N.R., Newby J.C., Paterson G.D., Pedley J.B., Diffusion processes in environmental systems, (1981); Page M.C., Glicksman L.R., Measurements of diffusion coefficients of alternate blowing agents in closed cell foam insulation, 33rd Annual Polyurethane Technical/Marketing Conference, Sept. 30-Oct. 3, (1990); Isberg J., The thermal conductivity of polyurethane foam, (1988); Touloukian Y.S., Liley P.E., Saxena S.C., Thermalphysical Properties of Matter: The TPRC Data Series, Volume 3, Thermal Conductivity, Nonmetallic Liquids and Gases, (1970); Smits G.F., Thoen J.A., Fundamental aspects of thermal conductivity aging and dimensional stability of rigid polyurethane foams, Insulation Materials: Testing and Applications, 2nd Volume, pp. 167-193, (1991); Smits G.F., Thoen J.A., Mathematical modelling techniques to predict important aspect of k-factor, aging of CFC-11 free rigid insulation, Polyurethane World Congress, pp. 412-427, (1991); Pollyanna W., Lennart V., Thermal conductivity of gaseous mixture in foams: An evaluation of existing calculation methods, (1992); Blomberg T., Heat conduction in two and three dimensions, computer modelling of building physics applications, (1996); Patankar S.V., Numerical heat transfer and fluid flow, (1980); Broennum T., CFC-free polyurethane pipe insulation foams for use in district heating systems, Journal of Cellular Plastics, 28, pp. 200-217, (1992); Sparks L.L., Cryogenic foam insulation: Polyurethane and polystyrene, Non-Metallic Materials and Composites, (1979); Caps R., Heinemann U., Fricke J., Keller K., Thermal conductivity of polyimide foams, International Journal of Heat and Mass Transfer, 40, 2, pp. 269-280, (1997); Kuhn J., Ebert H.P., Arduini-Schuster M.C., Buttner D., Fricke J., Thermal transport in polystyrene and polyurethane foam insulation, International Journal of Heat and Mass Transfer, 35, pp. 1795-1801, (1992); Glicksman L.R., Torpey M., Marge A., Means to improve the thermal conductivity of foam insulation, Journal of Cellular Plastics, 28, pp. 571-583, (1992); Van Krevelen D.W., Properties of Polymers, 3rd Edition, (1990); Bhattacharjee D., King J.A., Whitehead K.N., Thermal conductivity of PU/PIR foams as a function of mean temperature, Journal of Cellular Plastics, 27, pp. 240-251, (1991); Hirsch C., Numerical computation of internal and external flows, (1992); Shankland I.R., The effect of cell structure on the rate of foam aging, Proceedings of the 1st International Workshop on Long-Term Thermal Performance of Cellular Plastics, Session E, SPI Canada, Ontario, Canada, (1989); Reiss H., Ziegenbein B., Temperature-dependent extinction coefficient and solid thermal conductivities of glass fiber insulations, Thermal Conductivity, 18, pp. 412-424, (1985); Crank J., The mathematics of diffusion, (1975); Brodt K.H., Brood R.R.H., Bart G.C.J., Permeation of gas barrier layers, Journal of Thermal Insulation and Building Envelops, 19, pp. 132-148, (1995); Glicksman L., Schutz M., Sinofsky M., Radiation heat transfer in foam insulations, International Journal of Heat and Mass Transfer, 30, pp. 187-197, (1987); Svanstrom M., Ramnas O., A method for analyzing the gas phase in polyurethane foam, Journal of Cellular Plastic, 31, 4, pp. 375-388, (1995); Hagentoft C.E., Building physics fundamentals, (1997); Wang J., On aging modeling of pipe insulating foams, (1998); Brandrup J., Immergut E.H., Polymer Handbook, (1989); Schuetz M.A., Glicksman L.R., A basic study of heat transfer through foam insulation, 6th International Polyurethane Conference, San Diego, California, pp. 341-347, (1983); Carslaw H.S., Jaeger J.C., Conduction of heat in solids, (1959); Duntemann J., Mischel J., Taylor D., Delphi programming explorer:, (1995); Strzepek W.R., Overview of physical properties of cellular thermal insulations, Insulation Materials, Testing and Applications, (1990); Schuetz M.A., Heat transfer in foam insulation, (1982); Mikhailov M.D., Ozisik M.N., Unified analysis and solutions of heat and mass diffusion, (1984); Nevander L.E., Elmarsson B., Fukt-Handbok, Praktik och Teori (Moisture-Handbook, Practice and Theory), (1994); Anderson N.E., Christensen G., Nielsen F., Bygningers Fugtisolering (Moisture Protection of Buildings), (1984); Nield D.A., Bejan A., Convection in porous media, (1992); Hagentoft C.E., Forced convection coupled with heat conduction in well insulated walls with air gaps, Proceedings of the 2nd Symposium on Building Physics in the Nordic Countries, Trondheim, Norway, August, pp. 52-58, (1990); Hagentoft C.E., Energy transport due to heat conduction and mass transfer - A study of magnitudes, (1991); Hagentoft C.E., Forced and natural convection coupled with heat conduction in walls with air gaps, numerical methods in thermal problems, Proceedings of the Seventh International Conference, (1991); Hagentoft C.E., Thermal effects due to air flow in cracks, Proceedings of the 3rd Symposium on Building Physics in the Nordic Countries, (1993); Hagentoft C.E., Impact and stability of closed airflow paths inside insulated structures, Proceedings of Thermal Performance of the Exterior Envelopes of Buildings VII, Clearwater Beach, Florida, December, pp. 819-827; Sheridan J., Williams A., Close D.J., An experimental study of natural convection with coupled heat and mass transfer in porous media, International Journal of Heat and Mass Transfer, 35, 9, pp. 2131-2143, (1992); Uvslokk S., Skogstad H.B., Aske I.J., Natural convection in timber frame walls with thick thermal insulation layer, Proceedings of the 4th Symposium on Building Physics in Nordic Countries, VTT Espoo, Finland, 1, pp. 315-322, (1996); Claesson J., Forced convective-diffusive heat flow in insulations - A new analytical technique, Proceedings of the 3rd Symposium on Building Physics in the Nordic Countries, Technical University of Denmark, Lyngby, Denmark, 1, pp. 137-144, (1993); Kronvall J., Air flows in building components, (1980); Kohonen R., Kokko E., Ojanen T., Virtanen M., Thermal effects of air flows in building structures, (1985); Janssens A., Reliable control of interstitial condensation in lightweight roof systems, (1998); Hagentoft C.E., Serkitjis M., Simplified simulation models for natural and forced convection in porous media, International Symposium on Moisture Problems in Building Walls, Porto - Portugal, (1995); Serkitjis M., Natural convection heat transfer in a horizontal thermal insulation layer underlying an air layer, (1995); Okland O., Convection in highly insulated building structures, (1998); Silberstein A., Langlais C., Arquis E., Natural convection in light fibrous insulating materials with permeable interfaces: Onset criteria and its effect on the thermal performances of the product, Journal of Thermal Insulation, 14, pp. 22-42, (1990); Chang W.J., Lin H.C., Natural convection in a finite wall rectangular cavity filled with anisotropic porous medium, International Journal of Heat and Mass Transfer, 37, 2, pp. 303-312, (1994); Degan G., Vasseur P., Bilgen E., Convective heat transfer in a vertical anisotropic porous layer, International Journal of Heat and Mass Transfer, 38, 11, pp. 1975-1987, (1995); Hagentoft C.E., Simplified analysis of combined heat, moisture and air transport for one-dimensional cases, (1992); Pederson Rode C., Combined heat and moisture transfer in building constructions, (1990); Kunzel H.M., Kiessl K., Calculation of heat and moisture transfer in exposed building components, International Journal of Heat and Mass Transfer, 40, 1, pp. 159-167, (1997); Hokoi S., Kumaran K., Experimental and analytical investigations of simultaneous heat and moisture transport through glass fibre insulation, Journal of Thermal Insulation and Building Envelopes, 16, pp. 263-292, (1993); Kumaran M.K., Mitalas G.P., Bomberg M.T., Fundamentals of transport and storage of moisture in building materials and components, ASTM Manual Series: MNL 18, Moisture Control in Buildings, pp. 3-17, (1994); Kunzel H.M., Simultaneous heat and moisture transport in building components: One- and two-dimensional calculation using simple parameters, (1995); Galbraith G., McLean C., The selection of appropriate driving potentials for use in combined heat and mass transfer models, (1993); Philip J.R., De Vries D.A., Moisture movement in porous materials under temperature gradient, Trans. Am. Geophysical Union, 38, 2, (1957); De Vries D.A., Simultaneous transfer of heat and moisture in porous media, Trans. Am. Geophysical Union, 39, 5, (1958); Salonvaara M., Moisture potentials: Numerical analysis of two differential equations, (1993); Van Der Laan M.J., Moisture transfer in capillary-porous materials choosing the driving potentials, (1992); Kunzel H.M., Appropriate potentials for the calculation of heat, air and moisture flow in building elements, (1993); Matsumoto M., Simultaneous heat and moisture transfer during freezing-melting in building materials, Proceedings CIB-W40 Sopron Meeting, 6-8 September, (1993); Arfvidsson J., Combined heat and moisture flow in porous material, (1992); Karagiozis A., Overview of the 2D hygrothermal heat-moisture transport model LATENITE, (1993); Gu L.X., Karagiozis A., Theoretical and computational investigations of combined heat, vapor and liquid transfer in porous materials, (1993); Hens H., Heat, Air and Moisture Transfer Through New and Retrofitted Insulated Envelope Parts, 1, (1996); Burch D.M., Chi J., MOIST - A PC program for predicting heat and moisture transfer in building envelopes, (1997); Kumaran M.K., Heat, air and moisture transfer in insulated envelope Parts (HAMTIE): Material properties, International Energy Agency Annex 24, Final Report, 3, (1996); Hansen K.K., Sorption isotherm catalogue, (1986); Ojanen T., Evaluation of simulation model TCCC2D using simplified weather data and material properties, (1996); Descamps F., Continuum and discrete modelling of isothermal water and air transfer in porous media, (1997); Lomas K.J., Thermal programme validation, Proceedings of the BEP-94 Conference, BEPAF, pp. 73-82, (1994); Hens H., Et al., Heat, Air and Moisture Transfer Through New and Retrofitted Insulated Envelope Parts, Common Exercises, 1, (1996); Hens H., Jansens A., Enquiry on existing HAMCaT codes, (1992); Wilson A.G., Garden G.K., Moisture accumulation in walls due to air leakage, Proceedings of the RILEM/CIB Symposium on Moisture Problems in Buildings, Helsinki, 2-9, (1965); Dickens H.B., Hutcheon N.B., Moisture accumulation in roof spaces under extreme winter conditions, Proceedings of the RILEM/CIB Symposium on Moisture Problems in Buildings, Helsinki, 7-1, (1965); Burch D.M., Luna D.E., A mathematical model for predicting attic ventilation rates required for preventing condensation on roof sheathing, ASHRAE Transactions, 86, 1, pp. 201-220, (1980); Condensation in insulated domestic roofs, (1983); Bankvall C.G., Natural convection in vertical permeable space, Wärmeund Stoffübertragung, 7, pp. 22-30, (1974); Powell F., Krati M., Tuluca A., Air movement influence on the effective thermal resistance of porous insulations: A literature survey, Journal of Thermal Insulation, 12, pp. 239-251, (1989); Bankvall C.G., Forced convection - Practical thermal performance under the influence of wind and workmanship, (1977); Trethowen H.A., Sensitivity of insulated wall and ceiling cavities to workmanship, Journal of Thermal Insulation, 15, pp. 172-179, (1991); Virtanen M., Thermal coupling of leakage air and heat flows in buildings and in building components: Development and application of numerical methods, (1993); Bories S.A., Natural convection in porous media, Advances in Transport Phenomena in Porous Media, pp. 77-141, (1987); Kumaran M.K., Wang J., How well should one know the hygrothermal properties of building materials?, Proceedings of CIB W40 Meeting, Prague, August, pp. 47-52, (1999); Hagentoft C.E., Harderup E., Moisture conditions in a north facing wall with cellulose loose fill insulation: Constructions with and without vapor retarder and air leakage, ASHRAE Transactions, 101, 1, pp. 639-646, (1995); Janssen A., Hens H., Condensation and airtightness: Tolerance of roof design, Proceedings of the 4th Symposium on Building Physics in Nordic Countries, VTT Espoo, Finland, 2, pp. 423-430, (1996); Handegord G.O., Air leakage, ventilation and moisture control in buildings, moisture migration in buildings, ASTM STP 779, pp. 223-233, (1982); Hagentoft C.E., The impact of heat, air and moisture transport on energy demand and durability, (1997); Wang J.K., Numerical simulation of two-dimensional heat conduction in polar coordinates, (1996); Wahlgren P., Convection in loose-fill attic insulation, (2001); Wang J., Heat and mass transfer in gas-filled insulating foams, (1998); Wang J., Simultaneous heat and gas transfer through rigid polyurethane foam insulation, (1997); Wang J., On aging modeling of pipe insulating foams, (1998); Kumaran M.K., Wang J., How well should one know the hygrothermal properties of building materials?, Proceedings of CIB W40 Meeting, Prague, August, pp. 47-52, (1999); Wang J., An experimental investigation of drying materials in controlled environment, (1999); Wang J., Drying of cement board in a controlled environment - Experiment, simulation and parametric analysis, (1999); Olsson M., Long-term thermal performance of polyurethane-insulated district heating pipes, (2001); Roels S., Moisture transfer in heterogeneous porous media, (2000); Hagentoft C.E., Et al., Assessment method of numerical prediction models for combined heat, air and moisture transfer in building components - Benchmarks for one-dimensional cases, (2003); Arfvidsson J., Claesson J., Isothermal moisture flow in building materials: Modelling, measurements and calculations based on Kirchhoff's potential, Building and Environment, 35, 6, pp. 519-536, (2000); Rode C., Prediction of moisture transfer in building constructions, Building and Environment, 27, 3, pp. 387-397, (1992)</t>
  </si>
  <si>
    <t>2-s2.0-0037696626</t>
  </si>
  <si>
    <t>Neale A.; Derome D.; Blocken B.; Carmeliet J.</t>
  </si>
  <si>
    <t>Coupled simulation of vapor flow between air and a porous material</t>
  </si>
  <si>
    <t>https://www.scopus.com/inward/record.uri?eid=2-s2.0-85102991995&amp;partnerID=40&amp;md5=93669b253f1349ccf011e5aca83ce2ae</t>
  </si>
  <si>
    <t>Hygrothermal analysis of buildings is becoming increasingly utilized for evaluating heat and moisture related problems within the building envelope. Convective surface coefficients are particularly important for calculations involving boundary layer heat and mass transfer. As the equations for heat, air and vapor transport within the boundary layer are analogous under particular conditions, the convective moisture coefficients are often calculated through analogy equations, i.e. Lewis and Chilton-Colburn. However, these equations are not always valid. Therefore a different approach is needed to accurately determine heat and mass convection coefficients. In order to simulate vapor transfer between air and porous materials, this paper presents a model that couples CFD (Computational Fluid Dynamics) with an external vapor transport model developed by the authors. CFD is used to study heat transfer between air and solid materials, because convective transfer coefficients are dependent on the boundary layer velocity and temperature profile. It has been shown that these profiles can be calculated accurately with CFD. Thus, in this paper, CFD models heat and water vapor transport in the air and heat transport within the material. Vapor transport in the material was calculated externally and coupled with the CFD solution at specific time steps. Two cases were simulated using the developed model: 1) a transient case of turbulent air flow over a drying wood sample and 2) a transient case of transitional air flow over gypsum samples. © 2007, American Society of Heating, Refrigerating and Air-Conditioning Engineers, Inc.</t>
  </si>
  <si>
    <t>Ben Nasrallah S., Perre P., Detailed study of a model of heat and mass transfer during convective drying of porous media, Int. J. Heat Mass Transfer, 31, pp. 957-967, (1988); Blocken B., Wind-driven rain on buildings, (2004); Blocken B., Janssen H., Roels S., Derome D., Carmeliet J., A discussion on the formulae for heat and mass surface coefficients in building research, preparation for Int. J. Heat Mass Transfer, (2006); Chilton T.H., Colburn A.P., Mass transfer (absorption) coefficients, Industrial and engineering chemistry, 26, pp. 1183-1187, (1934); De Paepe M., Steeman H-J., Heat and mass transfer analogy, limitations and applications to buildings, IEA, (2005); Derome D., Moisture occurrence in roof assemblies containing moisture storing insulation and its impact on the durability of the building envelope, (1999); Derome D., Fortin Y., Fazio P., Modeling of moisture behavior of wood planks in nonvented flat roofs, J. of Architectural Eng., ASCE, 9, pp. 26-40, (2003); Erriguible A., Bernada P., Couture F., Roques M., Simulation of convective drying of a porous medium with boundary conditions provided by CFD, Chemical Engineering Research and Design, 84, A2, pp. 113-123, (2006); Ferziger JH, Peri M., Computational Methods for Fluid Dynamics, pp. 58-60, (2002); Fluent 6.1 User’s Guide, (2003); Hedegaard L., Woloszyn M., Rusaouen G., Moisture interactions between air and constructions modelled with CFD, IEA, (2004); Hukka A., Oksanen O., Convective mass transfer coefficient at wooden surface in jet drying of veneer, Holzforschung, 53, pp. 204-208, (1999); Kreith F., Bohn M.S., Principles of heat transfer, (2001); Launder B. E., Spalding D. B., Lectures in Mathematical Models of Turbulence, (1972); Lewis J.S., Heat transfer predictions from mass transfer measurements around a single cylinder in cross flow, Int. J. Heat Mass Transfer, 14, pp. 325-329, (1971); Lienhard J.H., Lienhard V, A Heat Transfer Textbook, (2006); Masmoudi W., Prat M., Heat and mass transfer between a porous medium and a parallel external flow. Application to drying of capillary porous materials, Int. J. Heat Mass Transfer, 34, pp. 1975-1989, (1991); Nabhani M., Tremblay C., Fortin Y., Experimental determination of convective heat and mass transfer coefficients during wood drying, 8th Intl. IUFRO Wood Drying Conference, pp. 225-230, (2003); Neale A., A study in computational fluid dynamics for the determination of convective heat and vapour transfer coefficients, (2006); Salin J-G., External heat and mass transfer – some remarks, 8th Int. IUFRO Wood Drying Conference, pp. 343-348, (2003); Schlichting H., Boundary-Layer Theory, McGrawHill, (1987); Shih T.-H., Liou W.W., Shabbir A., Yang Z., Zhu J., A new k-e eddy-viscosity model for high Reynolds number turbulent flows – model development and validation, Computers Fluids, 24, 3, pp. 227-238, (1995); Talukdar P., Simonson C., Transient heat and moisture transfer within gypsum, IEA/ECBCS Annex, 41, (2006); Tremblay C., Cloutier A., Fortin Y., Experimental determination of the convective heat and mass transfer coefficients for wood drying, Wood Science and Technology, 34, pp. 253-276, (2000); Trujillo F.J., Lovatt S.J., Harris M.B., Willix J., Pham Q.T., CFD modeling of the heat and mass transfer process during the evaporation of water from a circular cylinder, 3rd Int. Conference on CFD in the Minerals and Process Ind, pp. 99-104, (2003); Wadso L., Surface mass transfer coefficients for wood, Drying Technology, 11, pp. 1227-1249, (1993); Wolfstein M., The velocity and temperature distribution in one dimensional flow with turbulence augmentation and pressure gradient, Int. J. Heat Mass Transfer, 12, pp. 301-318, (1969)</t>
  </si>
  <si>
    <t>2-s2.0-85102991995</t>
  </si>
  <si>
    <t>Air Pressure and Building Envelopes</t>
  </si>
  <si>
    <t>https://www.scopus.com/inward/record.uri?eid=2-s2.0-84997908135&amp;doi=10.1177%2f109719602765071658&amp;partnerID=40&amp;md5=c1d4799ed4e3704d74a4005385af9437</t>
  </si>
  <si>
    <t>Control of airflow is essential to several important performance aspects of the building system. Air carries moisture which impacts a material’s longterm performance (serviceability) and structural integrity (durability), behavior in fire (smoke spread), indoor air quality (distribution of pollutants and microbial reservoirs) and thermal energy. Typical case studies are presented to illustrate how each of the above characteristics is affected when unintended airflow occurs as a result of poor construction. In some cases, there was simply a lack of understanding of the consequences of ignoring potential leakage paths and the interaction of the mechanical conditioning systems with the building structure. Rehabilitation of a troubled building requires that these interactions be understood. In general, the approach to developing that understanding is not involved. © 2002, Sage Publications. All rights reserved.</t>
  </si>
  <si>
    <t>2-s2.0-84997908135</t>
  </si>
  <si>
    <t>Auer D.; Karagiozis A.N.; Desjarlais A.</t>
  </si>
  <si>
    <t>A comprehensive hygrothermal investigation of an unvented energy-efficient roof assembly in the Pacific Northwest</t>
  </si>
  <si>
    <t>https://www.scopus.com/inward/record.uri?eid=2-s2.0-85103050051&amp;partnerID=40&amp;md5=2229799484a959850e6ead8895669e13</t>
  </si>
  <si>
    <t>This paper presents data on the behavior of moisture and temperature in a roof assembly of a western frame constructed, three story high, twelve unit multifamily building in Bellevue, Washington, just outside of Seattle. The data covers a multiyear span and reveals the hygrothermal behavior of two different roof assemblies, first a standard western frame, platform construction vented flat roof assembly, and then a retrofitted unvented and energy efficient roof assembly. The retrofitted roof strategy is only allowed as an exception by the local code authorities, compelling evidence must be presented. This paper provides results from field monitored roof sections and from roof simulations. A state-of-the-art hygrothermal computer program was employed to simulate the complex moisture dynamics, dependent on the specific interior and exterior environments and with the impact of air leakages exchanges in the air cavity. The analysis and measurements were performed for both roof design strategies. Both experimental and advanced modeling provided invaluable insight on the complex hygrothermal transport present in the roof. Results on the moisture accumulation in the roof assemblies, temperatures and relative humidity within the roof envelope systems are presented to quantify the merit of the two different roof assemblies. © 2007, American Society of Heating, Refrigerating and Air-Conditioning Engineers, Inc.</t>
  </si>
  <si>
    <t>Karagiozis A.N., Building enclosure hygrothermal performance study, (2002); Karagiozis A.N., Application of advanced tools to develop energy efficient building envelopes that are durable, Proceedings of Performance of the Exterior Envelopes of Whole Buildings IX International Conference, (2004); Straube J.F., Schumacher C., Instrumentation of King County Roof, (2001); Karagiozis A., Desjarlais, Monitoring and Analysis of Roof Retrofit Research Investigation Project, (2004); Karagiozis A., Desjarlais, Monitoring of Roof Hygrothermal Performance after Energy Retrofit, (2006); Karagiozis A., Desjarlais, MGI, (2004)</t>
  </si>
  <si>
    <t>2-s2.0-85103050051</t>
  </si>
  <si>
    <t>Kumaran M.K.</t>
  </si>
  <si>
    <t>A thermal and moisture property database for common building and insulation materials</t>
  </si>
  <si>
    <t>112 PART 2</t>
  </si>
  <si>
    <t>https://www.scopus.com/inward/record.uri?eid=2-s2.0-33750303513&amp;partnerID=40&amp;md5=31cca672155053365524fada03395422</t>
  </si>
  <si>
    <t>An ASHRAE research project (RP-1018) that was conducted at the Institute for Research in Construction, National Research Council Canada, has resulted in a unique database on many hygrothermal properties of many common building and insulation materials that are currently used in North America. The properties that are determined include thermal conductivity, equilibrium moisture content, water vapor transmission characteristics, water absorption coefficient, moisture diffusivity, and airflow characteristics. The experimental and analytical procedures used in the research project are all based on either international standards or on well-documented and peer-reviewed approaches. The materials that have been investigated in the project include several wood-based products, such as oriented strand board, plywood, wood fiberboard, and composite wood siding; masonry products, such as clay brick, mortar, and aerated concrete; five species of lumber; cladding products, such as stucco, fiber cement board, and the exterior coatings of EIFS systems; seven insulation products; six sheathing membranes; interior gypsum board, primer, and a latex paint; and a natural stone, a cement-based sheathing board; and vinyl wallpaper. This paper lists the basic information on all materials that were investigated. It also summarizes the principles of the experimental procedures. Illustrative examples of the information that has been generated in the research project are presented. Results from statistical analyses are highlighted. © 2006 ASHRAE.</t>
  </si>
  <si>
    <t>Building materials; Database systems; Insulation; Moisture; Thermodynamic properties; Hygrothermal properties; Moisture diffusivity; Water vapor transmission; Construction equipment</t>
  </si>
  <si>
    <t>Bomberg M.T., Kumaran M.K., A test method to determine airflow resistance of exterior membranes and sheathings, Journal of Thermal Insulation, 9, pp. 224-235, (1986); Bruce R.R., Klute A., The measurement of soil diffusivity, Soil Science Society of America Proceedings, 20, pp. 251-257, (1956); Burch D.M., Thomas W.C., Fanney A.H., Water vapor permeability measurements of common building materials, ASHRAE Transactions, 98, 2, pp. 486-494, (1992); Descamps F., Continuum and Discrete Modelling of Isothermal Water and Air Transfer in Porous Media, pp. 57-107, (1997); Hansen M.H., Retention curves measured using pressure plate and pressure membrane, Nordtest Technical Report, 367, (1998); Hansen K.K., Sorption isotherms, a catalogue, The Technical University of Denmark Technical Report, 162, 86, (1986); Hansen K.K., Lund H.B., Cup method for determination of water vapor transmission properties of building materials. Sources of uncertainty in the method, Proceedings of the 2nd Symposium, Building Physics in Nordic Countries, pp. 291-298, (1990); Hens H., Heat, air and moisture transport, Task 1: Modelling, 1, (1996); Kumaran M.K., Heat, air and moisture transport, Task 3: Material Properties, 3, (1996); Kumaran M.K., An alternative procedure for the analysis of data from the cup measurements for determination of water vapor transmission properties, Journal of Testing and Evaluation, 26, pp. 575-581, (1998); Kumaran M.K., Moisture diffusivity of building materials from water absorption measurements, Journal of Thermal Envelope and Building Science, 22, pp. 349-355, (1999); Kumaran M.K., Bomberg M.T., A gamma-spectrometer for determination of density distribution and moisture distribution in building materials, Moisture and Humidity: Measurements and Control in Science and Industry: Proceedings of International Symposium, pp. 485-490, (1985); Kumaran M.K., Mitalas G.P., Kohonen R., Ojanen T., Moisture transport coefficient of pine from gamma ray measurements, Collected Papers in Heat Transfer, ASME Heat Transfer Division, 123, pp. 179-183, (1989); Lackey J.C., Marchand R.G., Kumaran M.K., A logical extension of ASTM Standard E96 to determine the dependence of water vapor transmission on relative humidity, ASTM STP 1320, Insulation Materials: Testing and Applications, 3, pp. 456-470, (1997); Marchand R.G., Kumaran M.K., Moisture diffusivity of cellulose insulation, Journal of Thermal Insulation and Building Envelopes, 17, pp. 362-437, (1994); Maref W., Kumaran M.K., Lacasse M.A., Swinton M.C., Van Reenen D., Laboratory measurement and benchmarking of an advanced hygrothermal model, Proceedings of the 12th International Heat Transfer Conference, Grenoble, France, pp. 117-122, (2002); A thermal and moisture transport property database for common building and insulating materials - 1018-RP, NRC Canada Client Report to ASHRAE, B-1115.3, (1999); Thermal and moisture transport property database for common building and insulating materials-1018-RP, NRC Canada Client Report to ASHRAE, B-1115.9, (2000); A thermal and moisture transport property database for common building and insulating materials, NRC Canada Client Report, B-1115.13, (2002); Pel L., Moisture Transport in Porous Building Materials, pp. 47-80, (1995); Richards R.F., Burch D.M., Thomas W.C., Water vapor sorption measurements of common building materials, ASHRAE Transactions, 98, 2, pp. 475-485, (1992); Tveit A., Measurements of Moisture Sorption and Moisture Permeability of Porous Materials, (1966); Manual on Moisture Control in Buildings, (1994); Moisture Analysis and Condensation Control in Building Envelopes, (2001)</t>
  </si>
  <si>
    <t>2-s2.0-33750303513</t>
  </si>
  <si>
    <t>Jablonka M.; Karagiozis A.</t>
  </si>
  <si>
    <t>Hygrothermal performance testing of wall assemblies employing a three-dimensional weather-resistive barrier and drainage membrane</t>
  </si>
  <si>
    <t>https://www.scopus.com/inward/record.uri?eid=2-s2.0-85103059967&amp;partnerID=40&amp;md5=ab671ca5bced7579d787808d9b30b0ac</t>
  </si>
  <si>
    <t>This paper studies a weather resistive barrier and drainage membrane for residential and commercial construction, formed from a thin (0.55 mm) sheet of HDPE with a pattern of studs and channels that provide for a drainage and ventilation space on both sides of the sheet. The 3-dimensional membrane provides a secondary plane of moisture resistance to withstand inward moisture transport. It acts as a separator between cladding and secondary plane of moisture resistance (the plastic sheet), creating a drained and vented air space that provides a capillary break and drainage path. The product provides for more rapid drying of material outside the moisture barrier by allowing air movement through the cavity. In addition, the membrane provides a second interior drained and vented air space between the plastic sheet and the sheathing board that accelerates drying of materials inside the plane of the product by allowing air movement through this space. Airflow, drainage and drying characteristics of wall assemblies employing the proposed embossed weather resistive barrier were independently tested in full-scale wall systems. The laboratory data was then used to validate features of an advanced hygrothermal computer model. Good agreement was found between lab data and model predictions. Following this, the advanced computer model was utilized to evaluate the hygro-thermal performance of these wall assemblies for 5 different climates: Toronto, Seattle, Atlanta, Baton Rouge, and Norfolk. Dynamic time dependent interior and exterior conditions were included in the hygric analysis. A transient moisture analysis was deployed to understand the complex heat, air and moisture transport present in the envelope walls. Within the simulated timeframe the hygro-thermal results conclusively demonstrate the beneficial performance of this 3-dimensional membrane. Ventilation on both sides of the membrane has shown enhanced drying performance when compared to asphalt impregnated building paper. An extensive improvement in moisture management has been proven when employing the proposed weather resistive barrier, which performs far better than conventional building paper in regards to drying performance of the wall cavity. Further long-term field testing as part of a field investigation is currently ongoing at the ORNL Natural Exposure Test facility in Charleston, SC. Results from this study, as well as incorporation of those results in advanced hygro-thermal computer modeling, will be available at the time of presentation of this paper. © 2007, American Society of Heating, Refrigerating and Air-Conditioning Engineers, Inc.</t>
  </si>
  <si>
    <t>Straube J., Smegal J., DELTA®-DRY study – drainage and drying report, Cosella Doerkin Client Report, (2005); Karagiozis A., Hygrothermal performance of wall systems using DELTA®-DRY system, (2005); Fisette P., Details that keep walls watertight, (1997); Pazera M., Laboratory evaluation of weather resistive barriers, (2003); Burnett E., Shi X., Schumacher C., Straube J., Ventilation drying in screened wall systems: physical demonstration, (2004); UU-B-790a on Building Fiber and Vegetable Fiber, (1968); Thorsell S., Membranes in the building codes, BETEC Symposium: Membranes in Enclosure Wall Systems, (2004); Karagiozis A., Advanced hygrothermal modeling of building materials using moisture-expert 1.0, 35th International Particleboard Composite Materials Symposium, (2001); Karagiozis A., Scientific investigation of the hygrothermal performance of existing and innovative weather resistive membranes for USA climatic conditions, (2006)</t>
  </si>
  <si>
    <t>2-s2.0-85103059967</t>
  </si>
  <si>
    <t>Desmarais G.; Derome D.; Fazio P.</t>
  </si>
  <si>
    <t>Experimental setup for the study of air leakage patterns</t>
  </si>
  <si>
    <t>https://www.scopus.com/inward/record.uri?eid=2-s2.0-56249135879&amp;partnerID=40&amp;md5=6ae4808085213556f86fe2c1c92d0993</t>
  </si>
  <si>
    <t>A research project has been conducted to investigat e the impact of the initial air leakage characteristics on th e hygrothermal performance of insulated walls retrofitted with rigid insulatio n added either on the warm side or on the cold side of the wood studs. This paper presents the experimental setup developed to study and document the air leakage patterns. The research project involves the construction of a test hut inside an environmental chamber whe re winter, and then spring, steady-state conditions are simulated. Th e methods used to assess the impact of the air leakage characteristics are the threedimensionalmonitoringof temperaturesandthetwo-dimensionalmonitorin gof moisturecontentswithintheass emblies. Temperature monitoring results are presented using isotherms fo r the assemblies with no rigid insulation added. © 1998 American Society of Heating, Refrigeration, and Air-Conditioning Engineers (ASHRAE). All rights reserved.</t>
  </si>
  <si>
    <t>ASTM C 236-89, Standard test method for steady-state thermal performance of building assemblies by means of a guarded hot box, Annual Book of Standards, pp. 52-62, (1989); ASTM D 4442-92, Standard test method for direct measurement of wood and wood-based materials, Ann ual Book of Standards, 10, pp. 493-497, (1992); Fazio P., Derome D., Gerbasi D., Athienitis A., Depani S., Kovacevic P., Testing of flat roofs insulated with cellulose fiber, Thermal Performance of the Exterior Envelopes of Buildings VII, (1998); Fazio P., Athienitis A., Marsh C., Rao J., An environmental chamber for investigation of building envelope performance, Journal of A rchitectural Engineering, 3, 2, pp. 97-102, (1997); Forest T., Moisture transfer through walls, Thermal Performance of th e exterior envelopes of Buildings I V, pp. 532-542, (1989); Kumaran M.K., Taking guess work out of placing air/ vapor barriers, Canadian Consulting Engineer, pp. 32-33, (1996); Ojanen T., Kohonen R.O., Hygrothermal performance analysis of wind barrier structures, ASHRAE Transactions101, 1, pp. 595-606, (1995); Ojanen T., Simonson C., Convective moisture accumulation in structures with additional inside insulation, Thermal Performance of the Exterior Envelope s of Buildings VI, pp. 745-752, (1995); Simpson A., O'Connor D.E., Timber frame wall: Hygrothermal properties and vapour barrier damage, Building Services Engineering Resea rch and Technology, 15, 3, pp. 179-184, (1994); Trechsel H.R., Achenbach P.R., Ebbets J.R., Effect of an exterior air infiltration barrier on moisture accumulation within insulated frame wall cavities, ASHRAE Technical Data Bulleti,nVol, 1, 2, pp. 23-37, (1985); Trechsel H.R., Achenbach P.R., Knight H.J., Lou G.W., Evaluation of wind effect on moisture content of frame walls with and without an air-infiltration barrier, Thermal Perfor mance of the Exterior Envelopes of Buildings III, pp. 648-662, (1986); Zarr R.R., Burch D.M., Fanney A.H., Heat and moisture transfer in wood-based wall construction: Measured versus predicted, (1995)</t>
  </si>
  <si>
    <t>2-s2.0-56249135879</t>
  </si>
  <si>
    <t>Stovall T.K.; Karagiozis A.</t>
  </si>
  <si>
    <t>Airflow in the ventilation space behind a rain screen wall</t>
  </si>
  <si>
    <t>https://www.scopus.com/inward/record.uri?eid=2-s2.0-85098630545&amp;partnerID=40&amp;md5=34f30eba7ee4193ac9de5f47ca5916ab</t>
  </si>
  <si>
    <t>The inclusion of a ventilated airspace within a wall has been shown to improve the moisture transport of the wall assembly. Experimental data describing the airflow within such a cavity are available for a limited range of weather conditions and geometric configurations, but general relationships between the ventilation within the wall and external weather variables are not. Therefore, a series of steady-state numerical models was constructed to explore the influence of weather variables, including wind speed, insolation, and outdoor air temperature, for brick rain screen wall configurations. These configurations included multiple cavity depths and vent sizes. All models were based on a single-story building height with wind perpendicular to the wall. The results were used to develop a number of correlations intended to supplement the accuracy of transient hygrothermal models. © 2004 ASHRAE.</t>
  </si>
  <si>
    <t>AEA Technology Engineering Software Ltd; 2001 ASHRAE Handbook—Fundamentals, (2001); Balocco C., A simple model to study ventilated facades energy performance, Energy and Buildings, 34, pp. 469-475, (2001); Burnett E.F.P., Straube J.F., Vents, ventilation drying, and pressure moderation, (1995); Choi E.C.C., Wang Z., Study on pressure-equalization of curtain wall systems, Journal of Wind Engineering and Industrial Aerodynamics, 73, pp. 251-266, (1998); Hansen M., Nicolajsen A., Stang B., On the influence of ventilation on moisture content in timber framed walls, Building Physics 2002 6th Nordic Symposium, (2002); Karagiozis A., Introduction to MOISTURE-EXPERT Software, (2001); Kays W.M., Crawford M.E., Convective Heat and Mass Transfer, (1980); Kumar K.S., Stathopoulos T., Wisse J.A., Field measurement data of wind loads on rainscreen walls, Journal of Wind Engineering and Industrial Aerodynamics, 91, pp. 1401-1417, (2003); Kumar K.S., Wisse J.A., Pressure equalization of rainscreen facades: Analysis of the field data in the frequency domain, Wind and Structures, 4, 2, pp. 101-118, (2001); Kunzel H., Mayer E., Untersuchung über die notwendige Hinterlüftung an Außenwandbekeidung aus großformatigen Bauteilen, Schriftenreihe Bundesminister für Raumordnung, Bauwesen, und Städtebau, (1983); Kunzel H., Mayer E., Wärme- und Regenschutz bei zweischaligem Sichtmauerwerk mit Kerndämmung, BMFT-Forschungbericht, pp. T84-191, (1984); Mayer E., Kunzel H., Untersuchungen über die notwendige Hinterlüftung an Außenwandbekeidung aus großformatigen Bauteilen, (1983); Pinon J., Davidovic D., Burnett E., Srebic J., Characterization of ventilation airflow in screened wall systems, (2004); Popp W., Mayer E., Kunzel H., Untersuchungen über die Belüftung des Luftraumes hinter vorgesetzten Fassadenbekleidung aus kleinformatigen Elementen, (1980); Schwarz B., Witterungsbeansphruchung von Hochhausfassaden, HLH Bd, 24, 12, pp. 376-384, (1973); Shakerin S., Bohn M., Loehrke R.I., Natural convection in an enclosure with discreet roughness elements on a vertical heated wall, Int. J. Heat Mass Transfer, 31, 7, pp. 1423-1430, (1988); Straube J.F., Ventilated wall systems: Review of literature and theory, (2004); Straube J.F., Burnett E.F.P., Vents, ventilation and masonry veneer wall systems, Proceedings of the Eighth Canadian Masonry Symposium, pp. 194-207, (1998); Straube J.F., Burnett E.F.P., Drainage, ventilation drying, and enclosure performance, Conference Proceedings, Thermal Performance of The Exterior Envelopes of Buildings VII, pp. 189-198, (1998); Straube J.F., Moisture control and enclosure wall systems, (1998)</t>
  </si>
  <si>
    <t>2-s2.0-85098630545</t>
  </si>
  <si>
    <t>TenWolde A.</t>
  </si>
  <si>
    <t>STEADY-STATE ONE-DIMENSIONAL WATER VAPOR MOVEMENT BY DIFFUSION AND CONVECTION IN A MULTILAYERED WALL.</t>
  </si>
  <si>
    <t>pt 1A</t>
  </si>
  <si>
    <t>https://www.scopus.com/inward/record.uri?eid=2-s2.0-0022247760&amp;partnerID=40&amp;md5=0d5f8e1945a55de8c6b261754b4c4d01</t>
  </si>
  <si>
    <t>Current moisture analysis methods for walls ignore air leakage effects or are not directly applicable to multilayered walls. Mathematical equations were developed for water vapor flow, vapor pressures, and moisture accumulation under steady-state conditions with homogeneous one-dimensional airflow through a multilayered wall. A computer method was developed on the basis of these equations. With this method, a better qualitative understanding may be gained on the effects of air leakage on moisture accumulation. Sample analyses show that significant moisture accumulation should not be expected in nonhygroscopic cavity insulation, with or without air leakage.</t>
  </si>
  <si>
    <t>BUILDING MATERIALS - Moisture; MASS TRANSFER - Computer Aided Analysis; MOISTURE - Transport Properties; AIR LEAKAGE; MOISTURE ACCUMULATION; MULTILAYERED WALLS; WATER VAPOR MOVEMENT; BUILDINGS</t>
  </si>
  <si>
    <t>2-s2.0-0022247760</t>
  </si>
  <si>
    <t>Younsi R.; Kocaefe D.; Poncsak S.; Kocaefe Y.</t>
  </si>
  <si>
    <t>Transient multiphase model for the high-temperature thermal treatment of wood</t>
  </si>
  <si>
    <t>AIChE Journal</t>
  </si>
  <si>
    <t>10.1002/aic.10860</t>
  </si>
  <si>
    <t>https://www.scopus.com/inward/record.uri?eid=2-s2.0-33745761065&amp;doi=10.1002%2faic.10860&amp;partnerID=40&amp;md5=d7408ccfaf960ab949ebbaa382f76fdf</t>
  </si>
  <si>
    <t>The hygrothèrmal behavior of wood at high temperature is analyzed, taking into account all the phases present such as wood, liquid water in free and bound forms, and water vapor. The moisture transport phenomenon includes water vapor convection and diffusion along with capillary water convection in the pores of the particle as well as bound water diffusion in the solid wood. Local thermodynamic equilibrium is assumed, which is represented by a sorption isotherm that relates the moisture contents in the solid and gas phases. The equations of the model were solved numerically using the commercial software Femlab® for the temperature and the moisture content profiles. The mathematical model predictions were compared with the experimental data and a reasonably good agreement was obtained. A parametric study was also carried out to determine the effects of several parameters such as heating rate, initial moisture content, and the sample thickness on the temperature and moisture content distributions within the samples during heat treatment. © 2006 American Institute of Chemical Engineers.</t>
  </si>
  <si>
    <t>Heat and moisture transfer; High-temperature wood treatment; Mathematical modeling; Validation of mathematical model</t>
  </si>
  <si>
    <t>Capillarity; Convection; Diffusion; Heat Treatment; High Temperature; Mathematical Models; Wood; Capillary flow; Diffusion; Heat convection; Heat treatment; High temperature operations; Mathematical models; Wood; Capillary flow; Diffusion; Heat convection; Heat treatment; High temperature operations; Mathematical models; Heat and moisture transfer; High-temperature wood treatment; Mathematical modeling; Validation of mathematical model; Wood</t>
  </si>
  <si>
    <t>Pang S., Relative importance of vapour diffusion and convective flow in modelling of softwood drying, Drying Technol, 16, pp. 271-281, (1998); Pang S., Langrish T.A.G., Keey R.B., Moisture movement in softwood timber at elevated temperatures, Drying Technol., 12, pp. 1897-1914, (1994); Fhyr C., Rasmuson A., Some aspects of the modelling of wood chips drying in superheated steam, Int J Heat Mass Transfer, 40, pp. 2825-2842, (1997); Johanson A., Fhyr C., Rasmuson A., High temperature convective drying of wood chips with air and superheated steam, Int J Heat Mass Transfer, 40, pp. 2843-2858, (1997); Luikov A.V., Systems of differential equations of heat and mass transfer in capillary-porous bodies, Int J Hear Mass Transfer, 18, pp. 1-14, (1975); Luikov A.V., Heat and Mass Transfer, (1980); Whitaker S., Simultaneous heat, mass and momentum transfer in porous media: A theory of drying, Adv Heat Transfer, 13, pp. 119-203, (1977); Lewis R.W., Morgan K., Thomas H.R., The Finite Element Method in Heat Transfer Analysis, (1996); Malan A.C., Lewis R.W., Modelling coupled heat and mass transfer in drying non-hygroscopic capillary particulate materials, Comput Num Methods Eng., 19, pp. 669-677, (2003); Gawin D., Majorana C.E., Schrefler B.A., Numerical analysis of hygrothermal behaviour and damage of concrete at high temperature, Mech Cohes-frict Mater., 4, pp. 37-74, (1999); Bear J., Bachmat Y., Introduction to Modelling of Transport Phenomena in Porous Media, (1990); Hassanizadeh M., Gray W.G., General conservation equations for multiphase systems. 1. Averaging technique, Adv Water Res., 2, pp. 131-144, (1979); Bories S.A., Fundamentals of drying of capillary-porous bodies, Convective Heat and Mass Transfer in Porous Media, (1991); Stanish M.A., Schajer G.S., Kayihan F., A mathematical model of drying for hygroscopic porous media, AlChE J., 32, pp. 1301-1311, (1986); Moyne C., Contribution Àl'étude du Transfert Simultané de Chaleur et de Masse Lors du Séchage Sous Vide D'un Bois Résineux, (1982); Siau J.F., Transport Processes in Wood, (1984); Spolek G.A., Plumb O.A., Capillary pressure in softwoods, Wood Sci Technol., 15, pp. 189-199, (1981); Pakowski Z., Bartczak Z., Strumillo C., Strenstrom S., Evaluation of equations approximating thermodynamic and transport properties of water, steam and air for use in cad of drying process, Drying Technol., 9, pp. 753-773, (1991); Simpson W., Tenwold A., Physical properties and moisture relations of wood, Wood Handbook, 3, pp. 1-23, (1999); Incropera F.P., DeWitt D.P., Fundamentals of Heat and Mass Transfer, (2002); Leon G., Cruz-de-Leon J., Villaseno L., Thermal characterisation of pine wood by photoacoustic and photothermal techniques, Holz Roh Werkstoff, 58, pp. 241-246, (2000); Reference Manual, (2000); Younsi R., Kocaefe D., Poncsak S., Kocaefe Y., Thermal modeling of the high temperature treatment of wood based on Luikov's approach, Int J Energy Res., 29, (2005)</t>
  </si>
  <si>
    <t>2-s2.0-33745761065</t>
  </si>
  <si>
    <t>COMMENT (Deleate later)</t>
  </si>
  <si>
    <t>Did not do Air transport</t>
  </si>
  <si>
    <t>Code</t>
  </si>
  <si>
    <t>ref</t>
  </si>
  <si>
    <t>vip</t>
  </si>
  <si>
    <t>Check for the review about modelling moisture sources/sinks due to air leakages.</t>
  </si>
  <si>
    <t>Used ach method to calculate stuff.</t>
  </si>
  <si>
    <t>case study</t>
  </si>
  <si>
    <t>no</t>
  </si>
  <si>
    <t>but good to prove a point</t>
  </si>
  <si>
    <t>good as example for air flow often in rooms and for thermal comfort</t>
  </si>
  <si>
    <t>Category</t>
  </si>
  <si>
    <t>Case Study</t>
  </si>
  <si>
    <t>Room Sim</t>
  </si>
  <si>
    <t>Experiment</t>
  </si>
  <si>
    <t>Wrong</t>
  </si>
  <si>
    <t>Write they are doing convection. They are not -&gt; Misconception in practice.</t>
  </si>
  <si>
    <t>Compressed mineral wool results.</t>
  </si>
  <si>
    <t>Importance of Air Flow</t>
  </si>
  <si>
    <t>Modelling, Experiment, Case Study</t>
  </si>
  <si>
    <t>validation</t>
  </si>
  <si>
    <t>requested.</t>
  </si>
  <si>
    <t xml:space="preserve"> The type and thickness of insulation on the topside horizontal of cold pitched roofs has a significant role in controlling air movement, energy conservation and moisture transfer reduction through the ceiling to the loft (roof void) space. To investigate its importance, a numerical model using a HAM software package on a Matlab platform with a Simulink simulation tool has been developed using insitu measurements of airflows from the dwelling space through the ceiling to the loft of three houses of different configurations and loft space. Considering typical UK roof underlay (i.e. bituminous felt and a vapour permeable underlay), insitu measurements of the 3 houses were tested using a calibrated passive sampling technique. Using the measured airflows, the effect of air movement on three types of roof insulation (i.e. fibreglass, cellulose and foam) was modelled to investigate associated energy losses and moisture transport. The thickness of the insulation materials were varied but the ceiling airtightness and eaves gap size were kept constant. These instances were considered in order to visualize the effects of the changing parameters. In addition, two different roof underlays of varying resistances were considered and compared to access the influence of the underlay, if any, on energy conservation. The comparison of these insulation materials in relation to the other parameters showed that the type of insulation material and thickness, contributes significantly to energy conservation and moisture transfer reduction through the roof and hence of the building as a whole. </t>
  </si>
  <si>
    <t>2nd code</t>
  </si>
  <si>
    <t>x</t>
  </si>
  <si>
    <t>Read in full</t>
  </si>
  <si>
    <t>Heat and Mass transfer conference Band hat die Zusammenfassung. Original Angefragt.</t>
  </si>
  <si>
    <t>Angefragt</t>
  </si>
  <si>
    <t xml:space="preserve"> </t>
  </si>
  <si>
    <t>Green A., Beltrame S., Kokogiannakis G.</t>
  </si>
  <si>
    <t>Development and experimental validation of a heat, air and moisture model for metal-clad roofs</t>
  </si>
  <si>
    <t>290</t>
  </si>
  <si>
    <t>10.1016/j.buildenv.2025.114081</t>
  </si>
  <si>
    <t>https://www.scopus.com/inward/record.uri?eid=2-s2.0-105025598630&amp;doi=10.1016%2fj.buildenv.2025.114081&amp;partnerID=40&amp;md5=461b57dcae54cee232965f5adeac0c38</t>
  </si>
  <si>
    <t>The need for accurate hygrothermal models of roofs is increasing, as design practices change to reduce emissions and adapt to the changing climate. However, existing models are not capable of simulating all relevant physical processes, and the pool of available validation data is still quite limited. The new heat, air and moisture (HAM) roof model developed in this study provides new capabilities, including: the ability to model several interconnected air spaces (e.g. roof and above-membrane spaces), a model to predict the onset and magnitude of condensate runoff, and the use of different external convective heat transfer coefficients to previous models. Experiments were run to generate validation data using a well-instrumented test building with gable roof, with four different configurations of ventilation openings. Extensive measurements were taken of temperature and humidity throughout the roof structure, ventilation rates using tracer-gas, and ambient weather conditions. Validation of the new model revealed relatively close agreement between simulated and measured temperatures (mean absolute error 1.0 °C), humidity (mean absolute error 0.57 g / kg dry air), and ventilation rates (FAC2 76 % – 85 %). A parametric study also revealed: timesteps up to 30 min did not impact the accuracy of the model; an appropriate model for external convective heat transfer coefficients is identified; an airflow network allowing air movement between the roof and above-membrane spaces improved temperature predictions; and modelling the roof space as well-mixed produced the most accurate results. The developed HAM model provides a suitable platform for future simulation studies of metal-clad roofs. © 2025</t>
  </si>
  <si>
    <t>Airflow; Attic; Building performance simulation; Condensation; Hygrothermal; Thermal; Ventilation</t>
  </si>
  <si>
    <t>Climate change; Climate models; Heat convection; Heat transfer coefficients; Moisture; Roofs; Simulation platform; Air models; Airflow; Attic; Building performance simulations; Convective heat transfer; Hygrothermal; Metal-clad; Moisture modeling; Thermal; Validation data; Ventilation; airflow; condensation; experimental study; heat transfer; ventilation</t>
  </si>
  <si>
    <t>Sadineni, S.B., Madala, S., Boehm, R.F., Passive building energy savings: A review of building envelope components (2011) Renew. Sustain. Energy Rev., 15, pp. 3617-3631; Hens, H.L.S.C., Combined heat, air, moisture modelling: A look back, how, of help? (2015) Build Environ., 91, pp. 138-151; National Construction Code (2022), www.abcb.gov.au; Valovirta, I., Hietikko, J., Tuominen, E., Yletyinen, K., Vinha, J., Hygrothermal performance of ventilated attics: A field study in cold climate (2024) Build Environ., 266; Salonvaara, M., Karagiozis, A., Corning, O., Acceptable air tightness of walls in passive houses (2013), phius.org, (accessed April 10, 2023); Kauffman, Z., Fontanini, A., Withers, C., Marden, C., Ueno, K., Philip, R., Barker, G., Meleika, S., Moisture Performance of Unvented Attics With Vapor Diffusion Ports and Buried Ducts in hot, Humid Climates (2024), https://research-hub.nrel.gov/en/publications/moisture-performance-of-unvented-attics-with-vapor-diffusion-port, U.S. Department of Energy; Salonvaara, M., Miller, W., Desjarlais, A., Long-term hygrothermal performance of sealed and vented attics in a southern climate (2022) Thermal Performance of the Exterior Envelopes of Whole Buildings XV International Conference, American Society of Heating Refrigerating and Air-Conditioning Engineers, pp. 640-648. , https://impact.ornl.gov/en/publications/long-term-hygrothermal-performance-of-sealed-and-vented-attics-in/, (accessed November 3, 2025); Wilkes, K.E., Modeling of residential attics (1981) Thermal Performance of the Exterior Envelopes of Buildings, pp. 436-455. , American Society of Heating, Refrigerating and Air-Conditioning Engineers Orlando, Florida; Liu, Y., Considine, B., McNabola, A., Assessment of hygrothermal performance and mould growth risk in roofs of post-retrofitted non-dormer and dormer attic rooms with reduced ventilation (2024) Build Environ., 250; Wang, R., Ge, H., Baril, D., Moisture-safe attic design in extremely cold climate: hygrothermal simulations (2020) Build Environ., 182; Peavy, B., A model for predicting the thermal performance of ventilated attics (1979) National Bureau of Standards Special Publication 548, , U.S. Government Printing Office Washington; Wilkes, K.E., Rucker, J.L., Thermal performance of residential attic insulation (1983) Energy Build., 5, pp. 263-277; Wilkes, K.E., Thermal Model of Attic Systems With Radiant Barriers (1991), Oak Ridge National Lab., TN (United States) Oak Ridge, Tennessee, USA; Ober, D.G., Wilkes, K.E., (1997), An energy calculation model for attics, including radiant barriers, The American Society of Heating, Refrigerating and Air-Conditioning Engineers; Miller, W., Keyhani, M., Stovall, T., Youngquist, A., Natural convection heat transfer in roofs with above-sheathing ventilation (2007) Thermal Performance of the Exterior Envelopes of Buildings X, , Americal Society of Heating, Refrigeration and Air-Conditioning Engineers Clearwater, Florida; Wilkes, K.E., Analysis of Annual Thermal and Moisture Performance of Radiant Barrier Systems (1991), Oak Ridge National Lab., TN (United States) Oak Ridge, Tennessee, USA; Desjarlais, A., Miller, W., Energy and moisture performance of attic assemblies (2012) Building Envelope Technology Symposium, Pheonix, AZ, USA; Kalagasidis, A., HAM-Tools: An Integrated Simulation Tool For Heat, Air and Moisture Transfer Analyses in Building Physics (2004), https://research.chalmers.se/en/publication/485, Chalmers University of Technology; Nik, V.M., Kalagasidis, A., Kjellström, E., Assessment of hygrothermal performance and mould growth risk in ventilated attics in respect to possible climate changes in Sweden (2012) Build Environ., 55, pp. 96-109; Kalagasidis, A., Mattsson, B., Modelling of moisture conditions in a cold attic space (2005) Annex41 5th Meeting Report, Trondheim, Norway; Kalagasidis, A.S., The whole model validation for HAM-Tools. Case study: hygrothermal conditions in the cold attic under different ventilation regimes (2004) Americal Society of Heating, , Refrigeration and Air-Conditioning Engineers Clearwater Beach, Florida; Rupp, P., Manfred, S., Numerical Simulation of Ventilation in Roof Cavities (2016), Building Research Association of New Zealand; Fontanini, A.D., Kosny, J., Shukla, N., Fallahi, A., Ganapathysubramanian, B., Development and verification of the Fraunhofer attic thermal model (2017) J. Build. Perform. Simul., 10, pp. 72-90; Fontanini, A.D., Castro Aguilar, J.L., Mitchell, M.S., Kosny, J., Merket, N., DeGraw, J.W., Lee, E., Predicting the performance of radiant technologies in attics: reducing the discrepancies between attic specific and whole-building energy models (2018) Energy Build., 169, pp. 69-83; Sanders, C., Modelling Condensation and Airflow in Pitched roofs, Building Research Establishment (2006), BRE Press Garston; Lysaght, Lysaght Roofing &amp; Walling Installation Manual For Design and Installation Professionals (2021), BlueScope Steel Limited; Roof condensation and Insulation, BlueScope (2022), http://www.bluescopesteel.com.au/howto/prevent-condensation-problems; (2017), Standards Australia, AS/NZS 4200.1:2017 Pliable building membranes and underlays, part 1: materials; Classification of COLORBOND steel colours for BCA and BASIX (2015), http://www.steel.com.au/products/coated-steel/colorbond-steel/basix-and-bca-classification; Sherman, M.H., Tracer-gas techniques for measuring ventilation in a single zone (1990) Build Environ., 25, pp. 365-374; (2021), Standard practice for estimation of heat gain or loss through ceilings under attics containing radiant barriers by use of a computer program; Lin, W., Green, A., Ledo Gomis, L., Kokogiannakis, G., Cooper, P., Thermal effects of dew on cool roofs and conventional roofs in building performance simulations (2023) Energy Build., 279; Clear, R.D., Gartland, L., Winkelmann, F.C., An empirical correlation for the outside convective air-film coefficient for horizontal roofs (2003) Energy Build., 35, pp. 797-811; (2010), EnergyPlus, EnergyPlus engineering reference: the reference to EnergyPlus calculations; Hollands, K.G.T., Unny, T.E., Raithby, G.D., Konicek, L., Free convective heat transfer across inclined air layers (1976) J. Heat Transf., 98, pp. 189-193; Brinkworth, B.J., A procedure for the routine calculation of laminar free and mixed convection in inclined ducts (2000) Int. J. Heat Fluid Flow, 21, pp. 456-462; Fig, M., Fast view factor computation (2016), https://www.mathworks.com/matlabcentral/fileexchange/59234-fast-view-factor-computation, (accessed March 10, 2024); Rupp, S., Plagmann, M., Cox-Smith, I., Airtightness of Roof Cavities (2018), BRANZ Study Report SR401, Judgeford, New Zealand; Fricker, J., (2020), Ventilation tests of a metal roofed test room, James M Fricker Pty Ltd, Ringwood North, Victoria; Green, A., Cooper, P., (2020), https://ro.uow.edu.au/eispapers1/4585/, Hygrothermal performance of metal wall cladding systems, ARC Steel Manufacturing Research Hub (Project no. IH130100017) (accessed December 5, 2020); BS 5250:2021 Code of Practice for Control of Condensation in Buildings (2021); Quaglia, L., Cunningham, M., Study of the Moisture Management Properties of Roof Underlays (2010), BRANZ Ltd. Judgeford, New Zealand; Blocken, B., Carmeliet, J., On the accuracy of wind-driven rain measurements on buildings (2006) Build Environ., 41, pp. 1798-1810; Nezlobin, D., Rubin, H., Lavee, H., Sarah, P., Sachs, E., Runoff initiation from raindrops falling onto planar inclined surface (2013) Exp. Therm. Fluid Sci., 46, pp. 8-19; Xu, Y.L., Reardon, G.F., Variations of wind pressure on hip roofs with roof pitch (1998) J. Wind Eng. Ind. Aerodyn., 73, pp. 267-284; Gullbrekken, L., Uvsløkk, S., Kvande, T., Pettersson, K., Time, B., Wind pressure coefficients for roof ventilation purposes (2018) J. Wind Eng. Ind. Aerodyn., 175, pp. 144-152; Walton, G.N., Thermal Analysis Research Program Reference Manual (1983), National Bureau of Standards; Mirsadeghi, M., Cóstola, D., Blocken, B., Hensen, J.L.M., Review of external convective heat transfer coefficient models in building energy simulation programs: implementation and uncertainty (2013) Appl. Therm. Eng., 56, pp. 134-151; Costanzo, V., Evola, G., Marletta, L., Gagliano, A., Proper evaluation of the external convective heat transfer for the thermal analysis of cool roofs (2014) Energy Build., 77, pp. 467-477</t>
  </si>
  <si>
    <t>Build. Environ.</t>
  </si>
  <si>
    <t>All Open Access, Hybrid Gold</t>
  </si>
  <si>
    <t>2-s2.0-105025598630</t>
  </si>
  <si>
    <t>Chen X., Chun Q., Den Bossche N.V.</t>
  </si>
  <si>
    <t>Thermal performance of traditional cavity walls: Accounting for complex cavity geometry and bonding variability</t>
  </si>
  <si>
    <t>341</t>
  </si>
  <si>
    <t>10.1016/j.enbuild.2025.115816</t>
  </si>
  <si>
    <t>https://www.scopus.com/inward/record.uri?eid=2-s2.0-105004551736&amp;doi=10.1016%2fj.enbuild.2025.115816&amp;partnerID=40&amp;md5=640edc1ad9a51011719b7420e6a4478c</t>
  </si>
  <si>
    <t>As a significant feature of traditional dwellings and modern rural buildings in China, traditional Chinese cavity walls have always been valued for their material efficiency and thermal performance. However, the thermal implications of their irregular cavity geometries—shaped by diverse bond patterns—remain underexplored. This research, for the first time, aligns traditional Chinese cavity bond patterns with brickwork in international handbooks and combine experimental validation with 3D modeling to quantify the impact of bond patterns and boundary conditions on the thermal performance. Validated simulation results, with deviations under 10 %, show that radiation accounts for approximately 60 % of heat transfer across cavities, while convection has a comparatively minor effect. Thermal resistance ranges from 0.30 to 0.43 W/m2·K for 240 mm cavity walls, with the Flemish bond showing the lowest performance. Larger cavities and increased wall thickness enhance thermal resistance, and cavity walls generally outperform solid walls, albeit modestly. Brick thermal conductivity and surface emissivity are identified as dominant factors influencing energy performance. Moreover, clay infill as a practical strategy is confirmed in improving the thermal performance. This research provides new insights into the optimization of cavity walls for historic building, providing a critical foundation for future hygrothermal simulation and conservation-informed decision-making. The findings suggest that leveraging the unique cavity wall geometry and material strategies could inspire innovative, energy-efficient solutions for building retrofit. © 2025 Elsevier B.V.</t>
  </si>
  <si>
    <t>Bond patterns; Cavity geometry; Cavity walls; Energy efficiency; Thermal performance simulation</t>
  </si>
  <si>
    <t>Apartment houses; Energy efficiency; Hotels; Houses; Motels; Bond patterns; Cavity geometry; Cavity wall; Complex cavity; Energy; Performance simulation; Thermal; Thermal Performance; Thermal performance simulation; Traditional dwellings; Walls (structural partitions)</t>
  </si>
  <si>
    <t>Liu, Z., Hou, J., Zhang, L., Dewancker, B.J., Meng, X., Hou, C., Research on energy-saving factors adaptability of exterior envelopes of university teaching-office buildings under different climates (China) based on orthogonal design and EnergyPlus (2022) Heliyon, 8 (8); Li, Y., Lin, Y., Su, B., Analysis of China's energy consumption and intensity during the 13th five-year plan period (2025) Energy Policy, 198; Gutland, M., Bucking, S., (2022), 48, p. 103929. , doi: 10.1016/j.jobe.2021.103929. M. Santana Quintero, “Hygrothermal modelling of historic rubble masonry walls: Accounting for geometric and compositional variability,” J. Build. Eng.; Ahsan, A., (2011), Ed., Convection and Conduction Heat Transfer. IntechOpen doi: 10.5772/1041; Stefanizzi, P., Lippolis, A., Liuzzi, S., Experimental and numerical analysis of heat transfer in the cavities of hollow blocks (2013) Int. J. Heat Technol., 31 (2), pp. 149-154; Bruno, R., Bevilacqua, P., Ferraro, V., Arcuri, N., Reflective thermal insulation in non-ventilated air-gaps: experimental and theoretical evaluations on the global heat transfer coefficient (2021) Energy Build., 236; Balocco, C., A simple model to study ventilated facades energy performance (2002) Energy Build., 34 (5), pp. 469-475; Koh, C.H., Schollbach, K., Gauvin, F., Brouwers, H.J.H., Aerogel composite for cavity wall rehabilitation in the Netherlands: material characterization and thermal comfort assessment (2022) Build. Environ., 224; Van Belleghem, M., Steeman, M., Janssens, A., De Paepe, M., Heat, air and moisture transport modelling in ventilated cavity walls (2015) J. Build. Phys., 38 (4), pp. 317-349; Hens, H.S.L.C., Building Physics–Heat, Air and Moisture: Fundamentals and Engineering Methods with Examples and Exercises (2007), Ernst &amp; Sohn Berlin; (2012), ISO 10077-2:Thermal performance of windows, doors and shutters—Calculation of thermal transmittance — Part 2: Numerical method for frames; ISO 6946:2017 Building components and building elements - Thermal resistance and thermal transmittance - Calculation methods; Xiong, C., The Heat Exchange Model and Experimental Study for the Hollow Block Ventilated Wall (2016), Huazhong University of Science and Technology M.S. dissertation; Teng, M., Thermal Performance and Energy Conservation Analysis of Cavity Wall Buildings in Village and Small Town (2008), M.S. dissertation Hunan University; Calle, K., Coupillie, C., Janssens, A., Van Den Bossche, N., Implementation of rainwater infiltration measurements in hygrothermal modelling of non-insulated brick cavity walls (2020) J. Build. Phys., 43 (6), pp. 477-502; Yu, J., Xu, X., Yang, J., Research process of thermal modeling of Hollow block ventilated wall (2014) Build. Energy Environ., 33 (4), pp. 40-44; Grunewald, J., Nicolai, A., (2007), Modeling of air convection effects on hygrothermal performance of vented roofs, in Proceeding of Thermal Performance of Exterior Envelopes of Whole Buildings X; Straube, J., Smegal, J., Modeled and Measured drainage, storage and drying behind cladding, (2007), Proceedings of ASHRAE Thermal Performance of the Exterior Envelopes of Whole Buildings X International Conference, 2009 Building Science Press; Viljanen, K., Lü, X., Puttonen, J., Hygrothermal behaviour of ventilation cavities in highly insulated envelopes (2020) E3S Web Conf., 172, p. 07003; Fang, L., Meng, Q., Practical measurement and analysis on external wall heat engineering performance of new adn old civilian houses (2017) Archit. Technol., 48 (7), pp. 704-706; Cao, X., Wang, Y., Zhang, Y., Open-block Masonry model: analysis on chinese traditional masonry construction (2023) Tradit. Chin. Archit. Gard., 5, pp. 1-5; Liang, Z., The discourse of brick wall: the influence of brick wall on the evolution of traditional dwelling in Norther Jiangsu Province during the Ming and Qing Dynasties (2016) Architects, 3, pp. 101-108; Kong, Z., Li, Y., Hokoi, S., Hu, S., The rising damp in two traditional clay-brick masonry walls and influence on heat transfer performance (2019) MATEC Web Conf., 282, p. 02097; Liu, X., Study on the Fair-faced Brick Wall of Traditional Buildigns in Fuhe River Basin (2020), Wuhan University Wuhan; Wang, Y., (2020), Research on the Construction Technology of Cavity Walls of Historic Buildings in Southern Fujian, Anhui Archit.; Kong, Study on Rising Law and Impact of Capillary Water in Brick Architectural Heritage of Wet District (master thesis) (2019), M.S. dissertation Southeast University Nanjing; Hou, L., Liu, Y., Zhu, Y., Liu, L., Zhao, X., Yang, L., Thermal performance of cavity masonry wall structures in the solar rich areas of Western China (2024) J. Build. Eng., 86; Wang, D., Liu, Y., Wang, Y., Zhang, Q., Liu, J., Theoretical and experimental research on the additional thermal resistance of a built-in curtain on a glazed window (2015) Energy Build., 88, pp. 68-77; (2023), Physibel, TRISCO computer program to calculate 3D adb 2D steady state heat transfer in rectangular objects.; Bekkouche, S.M.E.A., Benouaz, T., Mohamed Kamal, C., Hamdani, M., Yaïche, R., Benamrane, N., Thermal resistances of air in cavity walls and their effect upon the thermal insulation performance (2013) Int. J. Energy Environ., Jan., 4, pp. 459-466; Chen, X., Bossche, N.V.D., Sensitivity analysis of traditional solid masonry wall to frost damage in North China (2023) J. Phys. Conf. Ser., 2654 (1); Thermal Simulation of Non-ventilated Cavities Using the RADCON Module. Physibel; EN 673:2024 Glass in building - Determination of thermal trnasimittance (U value) - Calculation method; EN 15026:2007 Hygrothermal performance of building mcomponnets and buidlign elements- Assessment of moisture transfer by numerical simulation; Nardi, I., Lucchi, E., (2023), In Situ Thermal Transmittance Assessment of the Building Envelope: Practical Advice and Outlooks for Standard and Innovative Procedures, Energies, 16 (8), 8 doi: 10.3390/en16083319; (2001), EN ISO10211-2 Thermal ridges in building construction- Calculation of heat flows anf surface temperatures-Part2: Linear thermal bridges; Shi, X., She, W., Zhou, H., Zhang, Y., Shi, F., Chen, W., Thermal upgrading of Hui-style vernacular dwellings in China using foam concrete (2012) Front. Archit. Res., 1 (1), pp. 23-33; Dong, L., Zhou, H., Li, H., Liu, F., Zhang, H., Al-Hussein, M., Climate chamber experiment-based thermal analysis and design improvement of traditional huizhou masonry walls (2018) Sustainability, 10 (3), p. 694; Langmans, J., Nicolai, A., Klein, R., Roels, S., A quasi-steady state implementation of air convection in a transient heat and moisture building component model (2012) Build. Environ., 58, pp. 208-218; Lucchi, E., Thermal transmittance of historical stone masonries: A comparison among standard, calculated and measured data (2017) Energy Build., 151, pp. 393-405; Evangelisti, L., Guattari, C., Gori, P., (2016), R. de Lieto Vollaro, F. Asdrubali, Experimental investigation of the influence of convective and radiative heat transfers on thermal transmittance measurements, Int. Commun. Heat Mass Transf., 78, 214–223 doi: 10.1016/j.icheatmasstransfer.2016.09.008</t>
  </si>
  <si>
    <t>Energy Build.</t>
  </si>
  <si>
    <t>2-s2.0-105004551736</t>
  </si>
  <si>
    <t>2-s2.0-85211096486</t>
  </si>
  <si>
    <t>Chen X., Chun Q., Van Den Bossche N.</t>
  </si>
  <si>
    <t>Hygrothermal Performance of Traditional Chinese Cavity Walls: Accounting for Complex Cavity Geometry in Non-vented Cavities</t>
  </si>
  <si>
    <t>776 LNCE</t>
  </si>
  <si>
    <t>10.1007/978-3-032-09054-6_25</t>
  </si>
  <si>
    <t>https://www.scopus.com/inward/record.uri?eid=2-s2.0-105021212337&amp;doi=10.1007%2f978-3-032-09054-6_25&amp;partnerID=40&amp;md5=09987f58591fc117a6bff1741040f76c</t>
  </si>
  <si>
    <t>Due to diverse bond patterns and large irregular geometries, traditional Chinese cavity walls—unlike European cavity walls—feature a non-vented air gap with looping air circulation and convection. Although initially designed to save bricks and improve energy efficiency, limited research has explored their hygrothermal performance and the impact of bond patterns and cavity geometry. This study addresses two key issues: first, the equivalent thermal performance of the air gap and its impact on heat transfer through wall assemblies. Second, Heat, Air, and Moisture (HAM) modeling is applied to assess whether the air gap facilitates moisture migration. Results indicate that air gap geometry affects the energy performance of the wall configuration but has a limited impact on moisture migration. While the air gap enhances the energy performance of the wall, it also introduces a higher moisture-related risk. Additionally, brick properties predominantly determine the hygrothermal performance of cavity walls. This research provides comprehensive insights into optimizing the hygrothermal performance of traditional Chinese cavity walls, contributing to the preservation and sustainable use of Chinese heritage buildings. © The Author(s), under exclusive license to Springer Nature Switzerland AG 2025.</t>
  </si>
  <si>
    <t>bond patterns; cavity geometry; Cavity walls; Energy efficiency; performance simulation</t>
  </si>
  <si>
    <t>Air; Brick; Geometry; Heat transfer performance; Historic preservation; Intelligent buildings; Moisture; Walls (structural partitions); Air-gaps; Bond patterns; Cavity geometry; Cavity wall; Complex cavity; Energy; Energy performance; Hygrothermal performance; Moisture migration; Performance simulation; Energy efficiency</t>
  </si>
  <si>
    <t>Chen, X., Bossche, N.V.D., Sensitivity analysis of traditional solid masonry wall to frost damage in North China (2023) J. Phys. Conf. Ser., 2654 (1). , https://doi.org/10.1088/1742-6596/2654/1/012021; Balocco, C., A simple model to study ventilated facades energy performance (2002) Energ. Buildings., 34 (5), pp. 469-475. , https://doi.org/10.1016/S0378-7788(01)00130-X; Straube, J., Smegal, J.: Modeled and measured drainage, storage and drying behind cladding. In: Proceedings of ASHRAE Thermal Performance of the Exterior Envelopes of Whole Buildings X International Conference. ASHRAE, Red Hook, New York, USA (2009) Building Science Press, Dec. 2007; Grunewald, J., Nicolai, A., Modeling of air convection effects on hygrothermal performance of vented roofs (2007) Proceeding of Thermal Performance of Exterior Envelopes of Whole Buildings X. ASHRAE, , Peachtree Corners (Dec; Calle, K., Coupillie, C., Janssens, A., van Den Bossche, N., Implementation of rainwater infiltration measurements in hygrothermal modelling of non-insulated brick cavity walls (2020) J. Build. Phys., 43 (6), pp. 477-502. , https://doi.org/10.1177/1744259119883909; Ahsan, A., (2011) Convection and Conduction Heat Transfer, , IntechOpen, Rijeka, Croatia; Fang, L., Meng, Q., Practical measurement and analysis on external wall heat engineering performance of new adn old civilian houses (2017) Archit. Technol., 48 (7), pp. 704-706; Viljanen, K., Lü, X., Puttonen, J., Hygrothermal behaviour of ventilation cavities in highly insulated envelopes (2020) E3S Web Conf, 172. , https://doi.org/10.1051/e3sconf/202 017207003; Wang, D., Liu, Y., Wang, Y., Zhang, Q., Liu, J., Theoretical and experimental research on the additional thermal resistance of a built-in curtain on a glazed window (2015) Energ. Buildings., 88, pp. 68-77. , https://doi.org/10.1016/j.enbuild.2014.11.047; Hou, L., Liu, Y., Zhu, Y., Liu, L., Zhao, X., Yang, L., Thermal performance of cavity masonry wall structures in the solar rich areas of Western China (2024) J. Build. Eng., 86. , https://doi.org/10.1016/j.jobe.2024.108797; Hens, H.S.L.C., (2007) Building Physics--Heat, Air and Moisture: Fundamentals and Engineering Methods with Examples and Exercises, , Ernst &amp; Sohn, Berlin; Chen, X., Chun, Q., Den Bossche, N.V., Thermal performance of traditional cavity walls: Accounting for complex cavity geometry and bonding variability (2025) Energ. Buildings., 341. , https://doi.org/10.1016/j.enbuild.2025.115816; Straube, J.: Moisture Control and Enclosure Wall Systems. University of Warerloo, Watrloo, Ontario, Canada (1998) Accessed: Apr. 26, 2023. [Online]. Available: https://uwspace.uwa terloo.ca/bitstream/handle/10012/281/NQ30650.pdf?sequence=1&amp;isAllowed=y; Carll, C., Malinauskas, V., Tenwolde, A., (1995) Airflows and Moisture Conditions in Walls of Manufactured Homes, , ASTM International, West Conshohocken; Sontag, L., Nicolai, A., Vogelsang, S.: Validation of the solver implementation of the hygrothermal simulation program DELPHIN, 2013, Qucosa, urn:nbn:de:bsz:14-qucosa128968 (2013); EN 673: Glass in Building-Determination of Thermal Trnasimittance (U Value)-Calculation Method. European Committee for Standardization (CEN), Brussels, Belgium (2024); ISO 10077-2: Thermal performance of windows, doors and shutters—Calculation of thermal transmittance — Part 2: Numerical method for frames. ISO, Geneva, Switzerland (2012); Physibel: TRISCO computer program to calculate 3D adb 2D steady state heat transfer in rectangular objects. Physibel, Ghent, Belgium (2023); Bekkouche, S.M.E.A., Benouaz, T., Mohamed Kamal, C., Hamdani, M., Yaïche, R., Benamrane, N.: Thermal resistances of air in cavity walls and their effect upon the thermal insulation performance. J. homepage: www, IJEE. IEEFoundation, org. 4, 459–466 (2013); ISO 12572:2016: Hygrothermal performance of building materials and products-Determination of water vapour transmission properties-Cup method. ISO, Geneva, Switzerland (2016); Schirmer, R., Die Diffusionszahl von Wasserdampf-Luft-Gemischen und die Verdampfungsgeschwindigkeit (1938) VDI-Z. Verfahrenstechnik., 6, pp. 170-177; Illig, W., Die Größe der Wasserdampfübergangszahl bei Diffusionsvorgängen in Wänden von Wohnungen, Stallungen und Kühlräumen (1952) Gesundheitsingenieur, 73 (7-8), pp. 124-127; EN 15026:2007 Hygrothermal performance of building mcomponnets and buidlign elements Assessment of moisture transfer by numerical simulation; Chen, X., Termonia, P., Hamdi, R., Bossche, N.V.D., Modeling algae growth on masonry in hygrothermal simulations: Developing a new response indicator (2025) Build. Environ., 269. , https://doi.org/10.1016/j.buildenv.2024.112437</t>
  </si>
  <si>
    <t>Lect. Notes Civ. Eng.</t>
  </si>
  <si>
    <t>Conference Paper</t>
  </si>
  <si>
    <t>2-s2.0-105021212337</t>
  </si>
  <si>
    <t>Numerical simulation of heat, air, and moisture transfer in building structures</t>
  </si>
  <si>
    <t>BRI Proceedings No.2</t>
  </si>
  <si>
    <t>A study was conducted to investigate the drying performance of a particular barrier exterior insulation and finish system (EIFS) clad wall as a function of vapor diffusion control with a specific air leakage path. The study was conducted with constant interior temperature and relative humidity. Results show that vapor control strategies are an important parameter dictating the drying performance of the barrier EIFS clad wall. Air leakage through the building wall system also showed significant effect.</t>
  </si>
  <si>
    <t>missing</t>
  </si>
  <si>
    <t>excluded</t>
  </si>
  <si>
    <t>Farkas N., Boardman C.R., Glass S.V., Zelinka S.L.</t>
  </si>
  <si>
    <t>Measurement of Through-Assembly Air Leakage and Its Impact on Moisture Performance of Wood-Frame Walls</t>
  </si>
  <si>
    <t>Air leakage is one of the critical moisture sources that may compromise the structural integrity and air quality of wood-frame buildings. The present study investigates air leakage through typical North American oriented strand board (OSB) sheathing using a one-of-a-kind analytical chamber, the CARWASh, which is designed to generate temperature- and humidity-controlled outdoor and indoor conditions for the evaluation of water management performance and moisture dynamics of exterior wall assemblies. We establish a baseline estimate for air leakage through OSB sheathing in full-scale wood-frame walls by combining moisture content, temperature, and relative humidity measurements and a one-dimensional transient hygrothermal model. The results show large variations in air leakage between the different OSB panels tested and demonstrate that complete airtightness commonly assumed for wall assemblies in hygrothermal simulations as a computational convenience may not be justifiable. We therefore use the measured data to specify a default air change rate (ACH) value for the average air leakage and assess its impact on the moisture performance of several wood-frame wall assemblies across multiple climate zones. The modeling results imply that a typical through-assembly air leakage likely leads to sizable moisture risk for wood-frame walls under elevated moisture load conditions. This work overall contributes to ongoing efforts in developing a quantitative basis for the evaluation of moisture problems in wood-frame buildings.</t>
  </si>
  <si>
    <t>Marincioni, V; Lorenzetti, F; Altamirano-Medina, H</t>
  </si>
  <si>
    <t>Parametric study on the hygrothermal performance of timber frame walls with external airtightness membranes in a temperate maritime climate</t>
  </si>
  <si>
    <t>dos Santos, GH; Mendes, N</t>
  </si>
  <si>
    <t>Heat, air and moisture transfer through hollow porous blocks</t>
  </si>
  <si>
    <t>Nusser, B; Teibinger, M; Bednar, T</t>
  </si>
  <si>
    <t>Measuring investigations of the hygrothermal behaviour of timber flat roofs - Part 3: Ventilated and non-ventilated metal roofs</t>
  </si>
  <si>
    <t>Grunewald, J; Nicolai, A</t>
  </si>
  <si>
    <t>Air flow effects on the hygrothermal behaviour of lightweight wall assemblies</t>
  </si>
  <si>
    <t>In recent years, external airtightness membranes have become an option for timber frame wall systems, as they allow high levels of air-and wind-tightness with an easy installation and provide rainwater protection during construction. This opens up the option of removing the internal air and vapour control layer. However, the hygrothermal risks associated to this option could be higher than in conventional construction, because vapour transfer can occur from the indoor environment into the timber frame wall not just via diffusion but also advection. This can lead to moisture accumulation and mould growth risk within the wall structure. This paper presents a parametric study that aims at identifying the moisture risk when external airtightness membranes are installed on a timber frame wall in a temperate maritime climate. The parametric study considered the two-dimensional heat, air and moisture transfer within a timber frame wall. Parameters having higher influence on moisture risk were identified and should be considered when designing robust wall systems.</t>
  </si>
  <si>
    <t>The combined heat, air and moisture transfer in building hollow elements is of paramount importance in the construction area for accurate energy consumption prediction, thermal comfort evaluation, moisture growth risk assessment and material deterioration analysis. In this way, a mathematical model considering the combined two-dimensional heat, air and moisture transport through unsaturated building hollow bricks is presented. In the brick porous domain, the differential governing equations are based on driving potentials of temperature, moist air pressure and water vapor pressure gradients, while, in the air domain, a lumped approach is considered for modeling the heat and mass transfer through the brick cavity. The discretized algebraic equations are solved using the MTDMA (MultiTriDiagonal-Matrix Algorithm) for the three driving potentials. Comparisons in terms of heat and vapor fluxes at the internal boundary are presented for hollow, massive and insulating brick blocks. Despite most of building energy simulation codes disregard the moisture effect and the transport multidimensional nature. results show those hypotheses may cause great discrepancy on the prediction of hygrothermal building performance. (C) 2008 Elsevier Ltd. All rights reserved.</t>
  </si>
  <si>
    <t>Measuring investigations of the hygrothermal behaviour of timber flat roofs - Part 3: Ventilated and non-ventilated metal roofs. In the third and last part of this article serial the measuring values of ventilated and non-ventilated metal roofs are discussed. The roofs were investigated at a full scale test under sun-exposed and full-time shaded conditions. It was shown that at sun-exposed conditions the vapour retarder membrane in both metal sheeted roofs can be replaced by an OSB without critical climate or increased moisture content in the cavity. The used metal sheeting at the non-ventilated roofs enables a water vapour permeable construction. The ventilated metal roof showed in spite of the little airflow in the ventilation layer the best hygrical behavior of all investigated roofs.</t>
  </si>
  <si>
    <t>The paper presents the governing equations and assumptions of a newly developed model for Coupled Heat, Air Moisture and Pollutant Simulation (CHAMPS). An approach for considering three-dimensional air flow effects is introduced. The capabilities of the numerical model are demonstrated by application to a lightweight wall assembly and a roof construction used in moderate climate zones.</t>
  </si>
  <si>
    <t>4TH CENTRAL EUROPEAN SYMPOSIUM ON BUILDING PHYSICS (CESBP 2019)</t>
  </si>
  <si>
    <t>INTERNATIONAL JOURNAL OF HEAT AND MASS TRANSFER</t>
  </si>
  <si>
    <t>BAUPHYSIK</t>
  </si>
  <si>
    <t>Piggot-Navarrete, J; Blanchet, P; Cabral, MR; Perez, C</t>
  </si>
  <si>
    <t>Investigating the impact of construction workmanship defects on the hygrothermal performance and airtightness of lightweight-structure wooden envelope systems</t>
  </si>
  <si>
    <t>BUILDING AND ENVIRONMENT</t>
  </si>
  <si>
    <t>Global energy demand continues to increase, and the construction sector has a fundamental role in this subject by achieving high hygrothermal performance. This study evaluates the impact of construction quality defects on the hygrothermal performance and airtightness of a lightweight-structure wooden envelope system. Four typical defects were evaluated, orifices in the weather barrier, staples in the vapor barrier, nails diverted to external insulation, and separated structural elements. The results showed that all the defects decreased the hygrothermal performance of the wood-frame envelope assessed. Structural separation and staples over the vapor barrier caused the most significant negative variations, increasing heat loss, the probability of interstitial condensation and air infiltration considerably.</t>
  </si>
  <si>
    <t>Desta, TZ; Roels, S</t>
  </si>
  <si>
    <t>The influence of air on the heat and moisture transport through a light weight building wall</t>
  </si>
  <si>
    <t>RESEARCH ON BUILDING PHYSICS</t>
  </si>
  <si>
    <t>Kehl, D; Ruisinger, U; Plagge, R; Grunewald, J</t>
  </si>
  <si>
    <t>Wooden beam ends in masonry with interior insulation - A literature review and simulation on causes and assessment of decay</t>
  </si>
  <si>
    <t>CONTRIBUTIONS TO BUILDING PHYSICS</t>
  </si>
  <si>
    <t>This paper discusses the influence of air transport on the heat and moisture transfer phenomena through a light weight test wall. The wall is a multilayered structure built up from outside to inside of external board, vented cavity, wind barrier, mineral wool between wooden studs and interior fmishing. The global wall has a surface area of (1.80 x 2.60) m(2) and is subdivided into three vertical parts. The parts differ from each other by the applied interior finishing. In the first year, the set up has been measured as it was originally built. Blower door and tracer gas tests demonstrated that all parts were rather air tight and that vapour diffusion was the main driving force for the moisture transfer through the wall. In the second year, the interior wooden finishing of the first part was drilled, consequently increasing the air permeability of the wall. The newly generated data after the wall is drilled together with the old ones are used to analyse and quantify the coupled heat, air and moisture (HAM) transport through the wall. The experimental data are confronted with the traditional Glaser method and a convection diffusion model for the analysis of coupled Heat Air and Moisture (HAM) transport.</t>
  </si>
  <si>
    <t>Decay of wooden beam ends in masonry walls is still a field of practice and scientific discussion. In literature many possible causes for decay are given. This paper delivers a comprehensive literature review about the hygrothermal performance of old masonry with and without interior insulation. In old walls without insulation the reasons for decay at wooden beam ends are often damaged downpipes, leaking roofs and lack of protection against wind driven rain. Furthermore the analyses of several interior insulation projects with wooden beam ends demonstrate that moisture load from outside by wind-driven rain (wdr) has an important influence on the behavior of moisture content of the beam end. In addition, hygrothermal simulations are carried out to detect and analyse the influence of the micro climate around the wooden beam end. A construction is simulated with and without convection from inside as well as with and without interior insulation. To interpret the results a simplified wood decay model based on the Viitanen model is used. The model considers the temperature dependency. This indicates that simple thresholds in national standards as 20 M-% moisture content is not suitable.</t>
  </si>
  <si>
    <t>10.1051/matecconf/201928202080</t>
  </si>
  <si>
    <t>10.1016/j.ijheatmasstransfer.2008.11.003</t>
  </si>
  <si>
    <t>10.1002/bapi.201010032</t>
  </si>
  <si>
    <t>10.1002/bapi.200710010</t>
  </si>
  <si>
    <t>10.1016/j.buildenv.2023.110705</t>
  </si>
  <si>
    <t>requested</t>
  </si>
  <si>
    <t>Topic</t>
  </si>
  <si>
    <t>Case Studies</t>
  </si>
  <si>
    <t>Ventilated cavities</t>
  </si>
  <si>
    <t>Workmanship</t>
  </si>
  <si>
    <t>Natural Convection</t>
  </si>
  <si>
    <t>Roofs</t>
  </si>
  <si>
    <t>CFD coupling</t>
  </si>
  <si>
    <t>Local Behaviour</t>
  </si>
  <si>
    <t>Simplifications and Recommendations</t>
  </si>
  <si>
    <t>Workmanship and Unwanted Air Paths</t>
  </si>
  <si>
    <t>Modelling</t>
  </si>
  <si>
    <t>Ventilated Cavity</t>
  </si>
  <si>
    <t>Roof/Ventilated Cavity</t>
  </si>
  <si>
    <t>Modelling and Validation</t>
  </si>
  <si>
    <t>Concerns itself with the comparison of modelling techniques, new developments or explicit validation of models.</t>
  </si>
  <si>
    <t>These are more like motivations behind the contributions.</t>
  </si>
  <si>
    <t>CFD and Coupling</t>
  </si>
  <si>
    <t>Topic 2</t>
  </si>
  <si>
    <t>in Besitz?</t>
  </si>
  <si>
    <t>Belleudy</t>
  </si>
  <si>
    <t>Hurel</t>
  </si>
  <si>
    <t>Derome</t>
  </si>
  <si>
    <t>Desmarais</t>
  </si>
  <si>
    <t>Janetti</t>
  </si>
  <si>
    <t>Jannssens</t>
  </si>
  <si>
    <t>Kronvall</t>
  </si>
  <si>
    <t>Searched in Title, Abstract and Keywords</t>
  </si>
  <si>
    <t>airflow* OR "air flow*" OR "air-flow*"</t>
  </si>
  <si>
    <t>AND</t>
  </si>
  <si>
    <t>leakage*</t>
  </si>
  <si>
    <t>moisture</t>
  </si>
  <si>
    <t>hygrothermal OR "HAM" OR "ham"</t>
  </si>
  <si>
    <t xml:space="preserve"> "airflow*" OR "air flow*" OR "air-flow*" </t>
  </si>
  <si>
    <t>convection</t>
  </si>
  <si>
    <t>EXCLUDE</t>
  </si>
  <si>
    <t>"DENT"</t>
  </si>
  <si>
    <t>"ARTS"</t>
  </si>
  <si>
    <t>"ECON"</t>
  </si>
  <si>
    <t>"PHAR" </t>
  </si>
  <si>
    <t>"MEDI" </t>
  </si>
  <si>
    <t>AGRI" </t>
  </si>
  <si>
    <t>"BIOC"</t>
  </si>
  <si>
    <t>"Magnetohydrodynamics"</t>
  </si>
  <si>
    <t>Magnetic Field</t>
  </si>
  <si>
    <t>"Nanomagnetics"</t>
  </si>
  <si>
    <t>convection OR advection</t>
  </si>
  <si>
    <t>vapour OR vapor</t>
  </si>
  <si>
    <t>"AGRI"</t>
  </si>
  <si>
    <t>1D</t>
  </si>
  <si>
    <t>Wall</t>
  </si>
  <si>
    <t>Air</t>
  </si>
  <si>
    <t>Exponential solution to 1D diff-convection equation</t>
  </si>
  <si>
    <t>HM</t>
  </si>
  <si>
    <t>MOISTWALL</t>
  </si>
  <si>
    <t>2D</t>
  </si>
  <si>
    <t>HAM</t>
  </si>
  <si>
    <t>TCCC2D</t>
  </si>
  <si>
    <t>Wall, Roof</t>
  </si>
  <si>
    <t>2D but 3D possible</t>
  </si>
  <si>
    <t>Porous + Air</t>
  </si>
  <si>
    <t>Darcy</t>
  </si>
  <si>
    <t xml:space="preserve">LATENITE </t>
  </si>
  <si>
    <t>3D</t>
  </si>
  <si>
    <t>Insulation</t>
  </si>
  <si>
    <t>Porous</t>
  </si>
  <si>
    <t>Darcy+Boussinesq</t>
  </si>
  <si>
    <t>XXX</t>
  </si>
  <si>
    <t>Porous+Air</t>
  </si>
  <si>
    <t>NS</t>
  </si>
  <si>
    <t>MOISTURE-EXPERT</t>
  </si>
  <si>
    <t>Roof</t>
  </si>
  <si>
    <t>Ventilated Cladding</t>
  </si>
  <si>
    <t>ACH-Model</t>
  </si>
  <si>
    <t>WUFI 4.1</t>
  </si>
  <si>
    <t>Power Law</t>
  </si>
  <si>
    <t>DELPHIN</t>
  </si>
  <si>
    <t>Vented Roofs</t>
  </si>
  <si>
    <t>Porous Media</t>
  </si>
  <si>
    <t>ACH Model + influence of Temp and moisture gradient in z direction + Darcy+Boussinesq</t>
  </si>
  <si>
    <t>DELPHIN4</t>
  </si>
  <si>
    <t>Block</t>
  </si>
  <si>
    <t xml:space="preserve">Porus and Air </t>
  </si>
  <si>
    <t>Darcy Forchheimer and Lumped</t>
  </si>
  <si>
    <t xml:space="preserve">Solve air cavitiy via lumpde </t>
  </si>
  <si>
    <t>Self programmed</t>
  </si>
  <si>
    <t>Darcy und Kair Abschötzung</t>
  </si>
  <si>
    <t>basiert auf Delphin, das ist wieder die 2D Vorberechnung für 3D Phänomene</t>
  </si>
  <si>
    <t>CHAMPS-BES</t>
  </si>
  <si>
    <t>ACH</t>
  </si>
  <si>
    <t>Wall + Roof</t>
  </si>
  <si>
    <t>Laplace Equation, Darcy Law</t>
  </si>
  <si>
    <t>Porous Media + Air</t>
  </si>
  <si>
    <t>1D, 2D</t>
  </si>
  <si>
    <t>WUFI 4.1 und WUFI2D-3</t>
  </si>
  <si>
    <t>Laplace Equation, Darcy-Brinkman Extension</t>
  </si>
  <si>
    <t>HA</t>
  </si>
  <si>
    <t>HAM-Lea</t>
  </si>
  <si>
    <t>DELPHIN 5</t>
  </si>
  <si>
    <t>COMSOL</t>
  </si>
  <si>
    <t>Laplace Equation, Darcy Law, Poiseuille Law</t>
  </si>
  <si>
    <t>No coupling, discusses why it is not necessary to consider the Beaver approximation.</t>
  </si>
  <si>
    <t>Wall+Roof</t>
  </si>
  <si>
    <t>Floor</t>
  </si>
  <si>
    <t>Brinkman Gleichung</t>
  </si>
  <si>
    <t>ACH-Model, Air Convection model</t>
  </si>
  <si>
    <t xml:space="preserve">coupling not discussed in further detail. Probably diffusion for ACH-Model and Convectionve exchange coefficient for Air Convection model. </t>
  </si>
  <si>
    <t>Mass Souce with Power Law</t>
  </si>
  <si>
    <t>HAM4D_VIE</t>
  </si>
  <si>
    <t>ACH Model</t>
  </si>
  <si>
    <t>Air Path, Power Law.</t>
  </si>
  <si>
    <t>Delphin 6.0</t>
  </si>
  <si>
    <t>Velocity as fixed boundary condtion</t>
  </si>
  <si>
    <t>Matsumotos Fortran Code</t>
  </si>
  <si>
    <t>Airch exchange, Prescribed vent rates, Airflow with Darcy</t>
  </si>
  <si>
    <t xml:space="preserve">HAM </t>
  </si>
  <si>
    <t>ACH-Method</t>
  </si>
  <si>
    <t>WUFPro</t>
  </si>
  <si>
    <t>Delphin</t>
  </si>
  <si>
    <t>ACH Model with variable ACH</t>
  </si>
  <si>
    <t>WUFIPro</t>
  </si>
  <si>
    <t>DELPHIN 6.1</t>
  </si>
  <si>
    <t>1D/2D</t>
  </si>
  <si>
    <t>ACH Model/NS-Equations</t>
  </si>
  <si>
    <t>modelled air gap as line for NS</t>
  </si>
  <si>
    <t>HM/HAM</t>
  </si>
  <si>
    <t>WUFIPro/COMSOL</t>
  </si>
  <si>
    <t>Airflowrate directly</t>
  </si>
  <si>
    <t>Doe</t>
  </si>
  <si>
    <t>DELPHIN 5.9</t>
  </si>
  <si>
    <t>ACH-Source</t>
  </si>
  <si>
    <t>WufiPro6</t>
  </si>
  <si>
    <t>Equivalent Resistance</t>
  </si>
  <si>
    <t>WufiPro6/WUFI 2D</t>
  </si>
  <si>
    <t>but calculated ACH from CFD</t>
  </si>
  <si>
    <t>WUFI 2D</t>
  </si>
  <si>
    <t>Brinkman + NS</t>
  </si>
  <si>
    <t>ACH-Source, Pipe Flow</t>
  </si>
  <si>
    <t>Pipe is more Like Luftpfad with NS EQ</t>
  </si>
  <si>
    <t>/</t>
  </si>
  <si>
    <t>HAM;</t>
  </si>
  <si>
    <t>DELPHIN, TRISCO</t>
  </si>
  <si>
    <t>Simulation  Dimensions</t>
  </si>
  <si>
    <t>System</t>
  </si>
  <si>
    <t>Medium</t>
  </si>
  <si>
    <t>Equations</t>
  </si>
  <si>
    <t>Coupling Techniques</t>
  </si>
  <si>
    <t>Properties</t>
  </si>
  <si>
    <t>Software</t>
  </si>
  <si>
    <t>Simulation</t>
  </si>
  <si>
    <t>CFD</t>
  </si>
  <si>
    <t>CFD to HAM</t>
  </si>
  <si>
    <t>CFD and HAM</t>
  </si>
  <si>
    <t>Analytical</t>
  </si>
  <si>
    <t>1D oder 2D/3D</t>
  </si>
  <si>
    <t>Field</t>
  </si>
  <si>
    <t>Existing model has been implemented</t>
  </si>
  <si>
    <t>Models have been calibrated against, measurement without airflow.</t>
  </si>
  <si>
    <t>Based on the presentation they have onyl simulated Temp</t>
  </si>
  <si>
    <t>field</t>
  </si>
  <si>
    <t>Literature</t>
  </si>
  <si>
    <t>Measurements</t>
  </si>
  <si>
    <t>Simulations</t>
  </si>
  <si>
    <t>Schijndel</t>
  </si>
  <si>
    <t>Integrated modeling of dynamic heat, air and moisture processes in buildings and systems using SimuLink and COMSOL</t>
  </si>
  <si>
    <t>This paper presents an overview of the development and evaluation of integrated heat, air and moisture modeling using the SimuLink/COMSOL simulation environment for simulating dynamic heat, air and moisture processes in buildings and systems. Most of the models are successfully verified (by analytical solutions or by comparison with other simulation results) and/or validated (by experimental data). Overall it is concluded that the SimuLink/COMSOL simulation environment is capable of solving a large range of integrated heat, air and moisture problems. Furthermore, it seems promising in accurately solving modeling problems that are caused by the presence of different time scales and/or lumped/distributed parameters.</t>
  </si>
  <si>
    <t>Sim. + Exp.</t>
  </si>
  <si>
    <t>Not Applicable</t>
  </si>
  <si>
    <t>Air flows in building components</t>
  </si>
  <si>
    <t>Johnny Kronvall</t>
  </si>
  <si>
    <t>PHD Thesis</t>
  </si>
  <si>
    <t>AIRTIGHTNESS OF MASONRY WALLS</t>
  </si>
  <si>
    <t>Lecompte Jan G.N.</t>
  </si>
  <si>
    <t>Konferenz Paper</t>
  </si>
  <si>
    <t>The influence of natural convection on the thermal quality of insulated cavity walls constructions (in Dutch)</t>
  </si>
  <si>
    <t>Reliable Control of Interstitial Condensation in Lightweight Roof Systems</t>
  </si>
  <si>
    <t>Janssens Arnold</t>
  </si>
  <si>
    <t>Feasibility of Exterior Air Barriers in Timber Frame Construction (Haalbaarheid van externe luchtschermen in houtskeletbouw) - KU Leuven</t>
  </si>
  <si>
    <t>Langmans Jelle</t>
  </si>
  <si>
    <t>Air convection has a significant effect on the hygrothermal performance of light-weight building structures. Even with pure natural convection the temperature field differs considerably from that of the 1-dimensional Case Study. The effects of different parameters are difficult to separate from each other by using only experimental research. This study is based mainly on numerical simulation. Computer code TCCC2D (Transient Coupled Convection and Conduction in 2-Dimensions) was used in the calculations. Verification of the numerical model shows that convection in real structures is in many Case Studys stronger than what was calculated for ideal structures. Obviously, the quality of workmanship, i.e., the deviations from ideal structure may locally increase convection and thus affect the heat and moisture transfer. The influence of natural convection on the temperature field and heat flux was also studied in closed and semi-open structures with convection barriers. According to calculations, forced convection increases heat losses most in corner areas of structures. Wood frames may work as convection barriers and thus reduce convective heat losses.</t>
  </si>
  <si>
    <t>The drying capability of an EIFS wall system with initial construction moisture critically depends on the climatic conditions in which it is placed. The drying rate mechanisms with which walls redistribute and transport moisture away from the envelope may affect the service life of the wall system. Potential moisture-induced damage becomes important when the wall is not properly designed with adequate drying capacity. This paper investigates the drying performance of a particular EIFS (exterior insulation and finish system) clad wall. A state-of-the-art two-dimensional hygrothermal model, developed by the authors, was employed to determine the hourly spatial temperatures, moisture content, and air velocity distributions within wall systems as a function of real climatic conditions. In the parametric investigation, the performance of a particular EIFS clad wall as a function of two stud cavity insulation materials was studied. Two cavity insulation materials were investigated: fiberglass and cellulose insulation. Two climatic conditions were chosen in the moisture analysis, representing cold and mild climates; these were Chicago, Illinois, and Wilmington, North Carolina, respectively. The effect of wall drying and wetting in the presence of a particular airflow path (cracks) was investigated for all Case Studys. The air leakage path was assumed to be present due to an electrical outlet close at the interior, an opening present between oriented strand panels, and a conduit in the stucco layer. Initial OSB moisture content was assumed to be very high. The influences of wind-driven rain, solar radiation, and air movement were included in the simulation analysis on an hourly basis. Results showed that air leakage through a particular EIFS clad wall in Wilmington produced a net drying effect for a wall system with an initially wet OSB layer, while air leakage developed a net seasonal moisture accumulation in Chicago. The effect of stud cavity insulation was found to be critical, as the storage capacity for moisture increased in the cellulose Case Study, compared to the fiberglass insulation Case Study. The distinct effect is present when comparing the two insulation systems. The cellulose insulation Case Study retained higher amounts of moisture. Solar-driven moisture was also more critical in the cellulose insulation Case Study than in the fiberglass Case Study. The thermal and moisture results were then linked to a state-of-the-art mold growth model to assess the risk of moisture-induced damage. Results were developed in the form of mold growth indexes. Results showed the probable mold growth index potential as a function of climatic conditions and as a function of cavity insulation. Higher risk of mold growth is present in the cellulose Case Study than in the fiberglass insulation Case Study. If there is a high mold growth index and the underlying material is maintained at high moisture content, there is a potential for developing decay (if the wood is already infected internally). Since boric acid is added in cellulose insulation as a treatment for fire, mold, and insect and rodent control, as wet blown cellulose comes in contact with other materials, some of the chemical will treat these surfaces. For the same wall system, Wilmington exhibited slightly worse conditions than Chicago for mold growth. The development of mold growth indexes permits one to perform a moisture engineering analysis and extend current moisture assessment analysis of building envelopes’ long-term performance. © 1998 American Society of Heating, Refrigeration, and Air-Conditioning Engineers (ASHRAE). All rights reserved.</t>
  </si>
  <si>
    <t>Monitoring of the building envelope of a heritage house: A Case Study study</t>
  </si>
  <si>
    <t>In this paper CFD is used to describe the HAM transport between the indoor environment of a single zone building and its surrounding walls. In contrast with traditional methods the CFD approach takes the effect of distributions in the indoor air and in the walls into account and local convection coefficients are calculated. CFD modelling only results in accurate indoor vapour and temperature distributions in Case Study the boundary conditions at the walls are correctly stated. These wall conditions depend on the heat and moisture buffering in the walls. Heat buffering can be taken into account, but no valid description is available in commercial CFD tools for moisture buffering. In this paper a model for moisture buffering in walls is added to the commercial CFD tool Fluent®. Using this model the effect of moisture buffering in walls can be taken into account in the CFD simulation of HAM transport. © 2006 Taylor &amp; Francis Group.</t>
  </si>
  <si>
    <t>The following paper is focused on hygrothermal behaviour of roofs with ventilated air layers subjected to air leakages in their internal decks (the internal partial construction located below the ventilated air layer). Possibilities of CFD modeling of such constructions are discussed in the first part of the paper including the problem of introduction of water vapour diffusion into calculation. A brief comparison of results from CFD analysis and from calculation based on a technical standard is also included. The main part of the paper includes a Case Study study concerning various effects of leakages in three basic types of ventilated roofs. General conclusion discussing the significance of leakages is included in the final part of the paper.</t>
  </si>
  <si>
    <t>Hygrothermal analysis of buildings is becoming increasingly utilized for evaluating heat and moisture related problems within the building envelope. Convective surface coefficients are particularly important for calculations involving boundary layer heat and mass transfer. As the equations for heat, air and vapor transport within the boundary layer are analogous under particular conditions, the convective moisture coefficients are often calculated through analogy equations, i.e. Lewis and Chilton-Colburn. However, these equations are not always valid. Therefore a different approach is needed to accurately determine heat and mass convection coefficients. In order to simulate vapor transfer between air and porous materials, this paper presents a model that couples CFD (Computational Fluid Dynamics) with an external vapor transport model developed by the authors. CFD is used to study heat transfer between air and solid materials, because convective transfer coefficients are dependent on the boundary layer velocity and temperature profile. It has been shown that these profiles can be calculated accurately with CFD. Thus, in this paper, CFD models heat and water vapor transport in the air and heat transport within the material. Vapor transport in the material was calculated externally and coupled with the CFD solution at specific time steps. Two Case Studys were simulated using the developed model: 1) a transient Case Study of turbulent air flow over a drying wood sample and 2) a transient Case Study of transitional air flow over gypsum samples. © 2007, American Society of Heating, Refrigerating and Air-Conditioning Engineers, Inc.</t>
  </si>
  <si>
    <t>Air Information Review, 27, 4, pp. 3-4, (2006); Arfvidsson J., Harderup L.E., Moisture safety in attics ventilated by outdoor air, 9th Symposium in Building Physics, (2005); Blocken B., Roels S., Carmeliet J., A combined CFDHAM approach for wind-driven rain on building facades, Journal of Wind Engineering and Industrial Aerodynamics, 95, 7, pp. 1-23, (2005); BSim, Danish; Charlesworth P.S., Air Exchange Rate and Air Tightness Measurement Techniques - An Application Guide, (1988); Chen Q., Van der Kooi J., Accuracy - a program for combined problems of energy analysis, indoor air flow and air quality, ASHRAE Transactions, 3158, pp. 196-214, (1988); Delphin 4, Technical University of Dresden; Essah E.A., Sanders C.H., Baker P., Galbraith G.H., McLean R.C., Comparing experimental measurements and modelling of airflow patterns in a house and its loft space, Proceedings of the Healthy Buildings (HB 2006} Conference, 4, pp. 415-420, (2006); Essah E.A., Sanders C.H., Baker P., Galbraith G.H., McLean R.C., Airflow between houses and their roofs, Research in Building Physics and Building Engineering, Proceedings of the Third International Building Physics Conference, 1, pp. 737-744, (2006); Essah E.A., Sanders C.H., Baker P., Galbraith G.H., Sasic Kalagasidis A., Simulating the energy benefits and reduction in condensation formation that is obtained from houses with cold pitched roofs, Proceedings of the 8th Symposium of Building Physics in the Nordic Countries, 2, pp. 793-799, (2008); Matlab; Hagentoft C.E., Introduction to Building Physics, pp. 1-5, (2001); International Building Physics Toolbox in Simulink; Roof Ventilation - VPU (Vapour Permeable Roofing Underlay), (2007); Hens H., Heat, Air, and Moisture Transfer in Insulated Envelope Parts: Task 1 - Modelling, (1996); Isover A.B., pp. 2-3, (2006); Jena A., Gupta K., Characteristics of water vapour permeable membranes, Journal of Desalination, 149, pp. 471-476, (2002); Johnston D., Wingfield J., Miles-Shenton D., Bell M., Airtightness of UK dwellings: Some recent measurements, Proceedings of the Construction and Building Research Conference, (2004); Pitched Roofs - New Build and Upgrade, (2007); Kumaran K., Heat, Air, and Moisture Transfer in Insulated Envelope Parts: Task 3 - Material Properties, (1996); Lu X., Modelling of heat and moisture transfer in buildings I. Model program, Energy and Buildings, 34, pp. 1033-1043, (2002); Mattsson B., A sensitivity analysis of assumptions regarding the position of leakages when modelling air infiltration through an attic floor, 7th Symposium on Building Physics in the Nordic Countries, (2005); Mattsson B., Studies on building air leakage - a transient pressurisation method, measurements and modelling, (2007); Samuelson I., Moisture Balance in the Cold Attics. The Importance of Ventilation and Choice of Insulation Materials, SP Report 1995, 68, (1995); Sanders C.H., Air movement in houses: A new approach, Building Research and Practice, CI/SFB, 81, 57, pp. 160-175, (1982); Sanders C.H., Heat, Air and Moisture Transfer Through New and Retrofitted Insulated Envelope Parts (Hamite), IAE Annex 24 - Final Report, (1996); Sanders C.H., Modelling condensation and airflow in pitched roofs, Building Research Establishment (BRE) information paper, IP 05/06, BRE Press, Garston, pp. 1-5, (2006); Sanders C.H., Haig J., Heat, air and moisture transport through cold pitched roofs, International Council for Research and Innovation in Buildings and Construction (CIB) W40, pp. 1-13, (2004); Sasic Kalagasidis A., HAM-Tools: An integrated simulation tool for heat, air and moisture transfer analyses in building physics, (2004); Sasic Kalagasidis A., The whole model validation of HAM-Tools. Case Study study: Hygrothermal conditions in the cold attic under different ventilation regimes, Proceedings of the 9th International Conference on Performance of the Exterior Envelopes of Whole Buildings, (2004); Sasic Kalagasidis A., Simulations as the way of bridging the gaps between desired and actual hygrothermal performance of buildings, Building Simulation Conference, (2007); Sasic Kalagasidis A., Mattsson B., Modelling of moisture conditions in a cold attic space, 26th AIVC Conference, (2005); Woloszyn M., Rode C., Annex 41: Whole building heat, air, and moisture response, Modelling Principles and Common Exercises, pp. 74-106, (2008); Wufi-Plus N.D., Fraunhofer Institute of Building Physics</t>
  </si>
  <si>
    <t>Moisture-related building envelope failures have resulted in costly rehabilitation in various regions of North America. To advance building envelope design towards an engineering approach and reduce the occurrence of future failures, an advanced numerical tool was developed, in conjunction with an extensive full-scale experiment, to investigate hygrothermal performance of various wood-frame wall assemblies. Major features of the tool are multi-dimensional and transient coupling of heat and moisture transport; natural air convection integrated in hygrothermal simulation through Darcy-Boussinesq approximation; heat transfer by conduction and convection of sensible and latent heat; moisture transport by vapor diffusion, capillary suction and convection; material database of common building materials in North America; experimental settings or weather data as boundary conditions; and moisture added in the building envelope to simulate the wetting process. The numerical tool achieves good compliances to the benchmarking Case Studys of the HAMSTAD project, and its predictions have shown good agreement with data from the full-scale wall experiment. The numerical tool employs the commercial finite-element software to solve the governing equations. This approach provides building science researchers the flexibility to modify, maintain and share their modeling work efficiently. Crown Copyright © 2008.</t>
  </si>
  <si>
    <t>Barrett D., The renewal of trust in residential construction: an inquiry into the quality of condominium construction in British Columbia, (1998); Rousseau M., An overview of the survey of building envelope failures in the coastal climate of British Columbia, performed by Morrisson-Hershfield Limited for CMHC (1996), Journal of Building Physics, 22, 4, pp. 364-367, (1999); Fazio P., Ge H., Mao Q., Alturkistani A., Rao J., A test method to measure the relative capacity of wall panels to evacuate moisture from their stud cavity, Journal of Architectural Engineering, 13, 4, pp. 194-204, (2007); Janssen H., Blocken B., Carmeliet J., Conservative modelling of the moisture and heat transfer in building components under atmospheric excitation, International Journal of Heat and Mass Transfer, 50, 5-6, pp. 1128-1140, (2007); Kunzel H.M., The smart vapor retarder: an innovation inspired by computer simulations, ASHRAE Transactions, pp. 903-907, (1998); Beaulieu P., Cornick S.M., Dalgliesh W.A., Djebbar R., Kumaran M.K., Lacasse M.A., Et al., MEWS methodology for developing moisture management strategies: application to stucco-clad wood-frame walls in North America, (2001); Hens H., Carmeliet J., Performance prediction for masonry walls with EIFS: using calculation procedures and laboratory testing, Journal of Thermal Envelope and Building Science, 25, 3, pp. 167-187, (2002); Mukhopadhyaya P., Kumaran K., Tariku F., van Reenen D., Application of hygrothermal modeling tool to assess moisture response of exterior walls, Journal of Architectural Engineering, 12, pp. 178-186, (2006); Rode C., Model for multidimensional heat, air and moisture conditions in building envelope components, (2007); Comsol-Multiphysics, (2007); Burch D.M., MOIST: a PC program for predicting heat and moisture transfer in building envelopes, (1997); Carmeliet J., Hens H., Roels S., Adan O., Brocken H., Cerny R., Et al., Determination of the liquid water diffusivity from transient moisture transfer experiments, Journal of Thermal Envelope and Building Science, 27, pp. 277-305, (2004); Cornick S., Maref W., Abdulghani K., van Reenen D., 1-D hygIRC: a simulation tool for modeling heat, air and moisture movement in exterior walls, (2003); Hagentoft C.-E., Kalagasidis A.S., Adl-Zarrabi B., Roels S., Carmeliet J., Hens H., Et al., Assessment method of numerical prediction models for combined heat, air and moisture transfer in building components: benchmarks for one-dimensional Case Studys, Journal of Thermal Envelope and Building Science, 27, pp. 327-352, (2004); Hagentoft C.-E., Introduction to building physics, (2001); Brunauer S., Emmett P.H., Teller E., Adsorption of gases in multimolecular layers, Journal of the American Chemical Society, 60, pp. 309-319, (1938); Kumaran M.K., Annex 24, heat, air and moisture transfer in insulated envelope parts. Task 3: material properties, (1996); Carmeliet J., Roels S., Determination of the isothermal moisture transport properties of porous building materials, Journal of Thermal Envelope and Building Science, 24, pp. 183-210, (2001); Durner W., Hydraulic conductivity estimation for soils with heterogeneous pore structure, Water Resources Research, 30, 2, pp. 211-224, (1994); Wu Y., Kumaran M., Fazio P., Moisture buffering capacities of five North American building materials, Journal of Testing and Evaluation, 36, 1, (2008); Kumaran K., Lackey J., Normandin N., van Reenen D., Tariku F., Thermal and moisture transport property database for common building and insulating materials, (2002); Fazio P., Athienitis A., Marsh C., Rao J., Environmental chamber for investigation of building envelope performance, Journal of Architectural Engineering, 3, 2, pp. 97-103, (1997); Alturkistani A., Fazio P., Rao J., Mao Q., A new test method to determine the relative drying capacity of building envelope panels of various configurations, Journal of Building and Environment, 43, 12, pp. 2203-2215, (2008)</t>
  </si>
  <si>
    <t>Workmanship/Case Study Study</t>
  </si>
  <si>
    <t>Full-scale laboratory measurements were taken and 2D simulations were performed to determine the moisture convection performance of the joint of an external wall and an attic floor. Both the measured and simulated results showed that the building fabric is locally sensitive to exfiltration airflow as moisture convection could cause a remarkable increase in the moisture accumulation rate on the inner surface of the sheathing. The results prove that in modern houses with balanced ventilation, where the positive pressure caused by the stack effect cannot be easily controlled, it is essential to control moisture convection by good airtightness and the use of assembly solutions with improved hygrothermal performance, such as the Case Study with mineral wool sheathing that was tested. The simulated results showed that the use of a constant moisture excess value instead of the profile did not cause any inaccuracy in the moisture content. At the same time, the use of the constant outdoor temperature over a long time period did change the hygrothermal performance, which became significantly more critical when simulated with variable outdoor temperatures. The laboratory measurement and simulation results show that in a cold climate, for the assemblies being studied with mineral wool sheathing, leakage rates of 0.1-0.2 L/(s•m) at a 10 Pa pressure difference may be used as performance criteria for moisture convection in a two-storey house with dimensioning moisture excess 4 g/m3 and a cold outdoor climate. Previous studies on the leakage characteristics show that these leakage rates are easily achievable in practice with careful workmanship.</t>
  </si>
  <si>
    <t>For many years, the coupled heat, air, and moisture (HAM) transport through multilayered building components has been an important research topic. As a result, a great number of numerical simulation tools have been developed to asses and predict the hygrothermal behaviour of building enclosures. But, while the literature shows that air transport has a significant impact on the heat and moisture response of light weight constructions, only few existing heat and moisture transport models include air flow as an active mass component. One of the reasons is the different time scale of air transport compared to the other transported quantities and the resulting difficulties in achieving acceptable simulation performance.The current article presents a quasi-steady state airflow model implementation in an existing transient HAM-model. The air transport is described as Darcy flow in porous media including a body force term to capture natural convection. One particular aim is the prediction of significant effects such as overlaying buoyant and externally driven air flow on the hygrothermal behaviour of building envelope components with sound simulation performances. Furthermore, the article includes an evaluation of the model for which three validation Case Studys from the literature are used to show the applicability and limitations of the presented approach. © 2012 Elsevier Ltd.</t>
  </si>
  <si>
    <t>Janssen H., The influence of soil moisture transfer on building heat loss via the ground, (2002); Kunzel H.M., Simultaneous heat and moisture transport in building components: one- and two-dimensional calculation using simple parameters, (1995); Rode Pedersen C., Combined heat and moisture transfer in building constructions, (1990); dos Santos G.H., Mendes N., Combined heat, air and moisture (HAM) transfer model for porous building materials, J Build Phys, 32, pp. 203-220, (2009); Nicolai A., Modelling and numerical simulation of salt transport and phase transitions in unsaturated porous building materials, (2007); Hagentoft C.E., Kalagasidis A.S., Adl-Zarrabi B., Roels S., Carmeliet J., Hens H., Et al., Assessment method of numerical prediction models for combined heat, air and moisture transfer in building components: benchmarks for one-dimensional Case Studys, J Thermal Envelope Build Sci, 27, pp. 327-352, (2004); Hutcheon N.B., Humidified buildings, Can Build Dig, (1963); Rousseau M.Z., Control of surface and concealed condensation, Build Insight, 83, (1993); Janssens A., Reliable control of interstitial condensation in lightweight roof systems, (1998); Derome D., Moisture accumulation in cellulose insulation caused by air leakage in flat wood frame roofs, J Thermal Envelope Build Sci, 28, pp. 269-287, (2005); Kalamees T., Kurnitski J., Moisture convection performance of external walls and roofs, J Build Phys, 33, pp. 1-23, (2009); Desta T.Z., Langmans J., Roels S., Experimental data set for validation of heat, air and moisture transport models of building envelopes, Build Environ, 46, pp. 1038-1046, (2011); Zirkelbach D., Kunzel H.M., Schafaczek B., Dampfkonvektion wird berechenbar - Instationäres Modell zur Berücksichtigung von konvektivem Feuchteeintrag bei der Simulation von Leicht- baukonstruktionen, pp. 1-8, (2009); Ojanen T., Kohonen R., Kumaran M.K., Modeling heat, air, and moisture transport through building materials and components, Moisture control in buildings, (1994); Trechsel H.R., Moisture analysis and condensation control in building envelopes: (MNL 40), (2001); Li Q., Rao J., Fazio P., Development of HAM tool for building envelope analysis, Build Environ, 44, pp. 1065-1073, (2009); Saber H.H., Swinton M.C., Kalinger P., Paroli R.M., Long-term hygrothermal performance of white and black roofs in North American climates, Build Environ, 50, pp. 141-154, (2012); van Schijndel A.W.M., Modeling and solving building physics problems with FemLab, Build Environ, 38, pp. 319-327, (2003); Steeman H.-J., Belleghem M.V., Janssens A., Paepe M.D., Coupled simulation of heat and moisture transport in air and porous materials for the assessment of moisture related damage, Build Environ, 44, 10, pp. 2176-2184, (2009); Defraeye T., Blocken B., Carmeliet J., Analysis of convective heat and mass transfer coefficients for convective drying of a porous flat plate by conjugate modelling, Int J Heat and Mass Trans, 55, pp. 112-124, (2012); Grunewald J., Diffusiver und konvektiver Stoff- und Energietransport in kapillarporösen Baustoffen, (1997); Janssen H., Blocken B., Carmeliet J., Conservative modelling of the moisture and heat transfer in building components under atmospheric excitation, Int J Heat and Mass Trans, 50, pp. 1128-1140, (2007); Tariku F., Kumaran K., Fazio P., Transient model for coupled heat, air and moisture transfer through multilayered porous media, Int J Heat and Mass Trans, 53, pp. 3035-3044, (2010); Nield D., Bejan A., Convection in porous media, (2006); Descamps F., Continuum and discrete modelling of isothermal water and air flow in porous media, (1996); Hens H., Heat and moisture transport (in dutch), (2003); Nicolai A., (2007); Hindmarsh A., SUNDIALS: suite of nonlinear and differnential/algebraic equations solvers, (2005); Hagentoft C.-E., HAMSTAD: WP2: benchmark package, (2002); Klarsfeld S., Combarnous M., Analyse des transferts thermiques convectifs dans les isolants poreux perméables, Rev Gén Therm, 228, (1980); Powell F., Krarti M., Tuluca A., Air movement influence on the effective thermal resistance of porous insulations: a literature survey, J Build Phys, 12, pp. 239-251, (1989); Silberstein A., Langlais C., Arquis E., Natural convection in light fibrous insulating materials with permeable interfaces: onset criteria and its effect on the thermal performances of the product, J Build Phys, 14, pp. 22-42, (1990); Kohonen R., Kokko E., Ojanen T., Virtanen M., Thermal effects of air flows in building structures, (1985); Bejan A., Convection heat transfer, (2004); Saeid N.H., Pop I., Transient free convection in a square cavity filled with a porous medium, Int J Heat and Mass Trans, 47, 8-9, pp. 1917-1924, (2004); Patankar S.V., Numerical heat transfer and fluid flow, (1980); Langmans J., Nicolai A., Klein R., Grunewald J., Roels S., Numerical simulation of building components - Towards an efficient implementation of air convection in HAM-models, 9th nordic symposium on building physics, pp. 399-405, (2011); Langmans J., Klein R., Roels S., Hygrothermal risks of using exterior air barrier systems for highly insulated light weight walls: a laboratory investigation, Build Environ, 56, 10, pp. 192-202, (2012); Brown W.C., Bomberg M.T., Ullett J.M., Rasmussen J., Measured thermal resistance of frame walls with Defects in the Installation of mineral fibre insulation, J Build Phys, 16, pp. 318-339, (1993); Roels S., Talukdar P., James C., Simonson C.J., Reliability of material data measurements for hygroscopic buffering, Int J Heat and Mass Trans, 53, pp. 5355-5363, (2010)</t>
  </si>
  <si>
    <t>Defraeye T., Blocken B., Derome D., Nicolai B., Carmeliet J., Convective heat and mass transfer modelling at air-porous material interfaces: Overview of existing methods and relevance, Chem. Eng. Sci., 74, pp. 49-58, (2012); McMinn W.A.M., Magee T.R.A., Principles, Methods and Applications of the Convective Drying of Foodstuffs, Food Bioprod. Process., 77, 3, pp. 175-193, (1999); Barati E., Esfahani J.A., Mathematical modeling of convective drying: Lumped temperature and spatially distributed moisture in slab, Energy, 36, 4, pp. 2294-2301, (2011); Landman K.A., Pel L., Kaasschieter E.F., Analytic modelling of drying of porous materials, Math. Eng. Ind., 8, 2, pp. 89-122, (2001); Crank J., The Mathematics of Diffusion, (1975); Milly P.C.D., Moisture and heat transport in hysteretic, inhomogeneous porous media: A matrix head-based formulation and a numerical model, Water Resour. Res., 18, 3, pp. 489-498, (1982); Wang N., Brennan J.G., A mathematical model of simultaneous heat and moisture transfer during drying of potato, J. Food Eng., 24, 1, pp. 47-60, (1995); Hagentoft C.E., Et al., Assessment Method of Numerical Prediction Models for Combined Heat, Air and Moisture Transfer in Building Components: Benchmarks for One-dimensional Case Studys, J. Build. Phys., 27, 4, pp. 327-352, (2004); Hussain M.M., Dincer I., Two-dimensional heat and moisture transfer analysis of a cylindrical moist object subjected to drying: A finite-difference approach, Int. J. Heat Mass Tran., 46, 21, pp. 4033-4039, (2003); Le Page J.F., Chevarin C., Kondjoyan A., Daudin J.D., Mirade P.S., Development of an approximate empirical-CFD model estimating coupled heat and water transfers of stacked food products placed in airflow, J. Food Eng., 92, 2, pp. 208-216, (2009); Shokouhmand H., Abdollahi V., Hosseini S., Vahidkhah K., Performance Optimization of a Brick Dryer Using Porous Simulation Approach, Dry. Technol, 29, 3, pp. 360-370, (2011); Masmoudi W., Prat M., Heat and Mass-Transfer between a Porous-Medium and a Parallel External Flow-Application to Drying of Capillary Porous Materials, Int. J. Heat Mass Tran., 34, 8, pp. 1975-1989, (1991); Amir H., Le Palec G., Daguenet M., Séchage superficiel d'un matériau poreux humide par convection forcée d'air chaud: Couplage entre les équations de transfert dans le matériau et celles de la couche limite, Int. J. Heat Mass Tran., 30, 6, pp. 1149-1158, (1987); Dolinskiy A.A., Ash D., Davydenko B.V., Conjugate heat and mass transfer in continuous processes of convective drying, Int. J. Heat Mass Tran., 34, 11, pp. 2883-2889, (1991); Defraeye T., Blocken B., Carmeliet J., Analysis of convective heat and mass transfer coefficients for convective drying of porous flat plate by conjugate modeling, Int. J. Heat Mass Tran., 55, pp. 112-124, (2012); Van Belleghem M., De Backer L., Janssens A., De Paepe M., Development of a coupled CFD-HAM model including liquid moisture transport to study moisture transport in building materials, 5th Int. Building Physics Conf. IBPC2012, (2012); Defraeye T., Convective Heat and Mass Transfer at Exterior Building Surfaces, (2011); Dean R.B., Reynolds Number Dependence of Skin Friction and Other Bulk Flow Variables in Two-Dimensional Rectangular Duct Flow, J. Fluid. Eng-T. ASME, 100, 2, pp. 215-223, (1978)</t>
  </si>
  <si>
    <t>Case Study Study</t>
  </si>
  <si>
    <t>Brown W.C., Bomberg M.T., Ullett J.M., Measured thermal resistance of frame walls with defects in the installation of mineral fibre insulation, Journal of Building Physics, 16, 4, pp. 318-339, (1993); Desta T.Z., Jelle L., Staf R., Experimental Data Set for Validation of Heat, Air and Moisture Transport Models of Building Envelopes, Building and Environment, 46, 5, pp. 1038-1046, (2011); Derome D., Moisture accumulation in cellulose insulation caused by air leakage in flat wood frame roofs, Journal of Building Physics, 28, 3, pp. 269-287, (2005); Grunewald J., Diffusiver und Konvektiver Stoff-und Energietransport, (1997); Hagentoft C.E., Kalagasidis A.S., Adl-Zarrabi B., Assessment method of numerical prediction models for combined heat, air and moisture transfer in building components: Benchmarks for one-dimensional Case Studys, Journal of Building Physics, 27, 4, pp. 327-352, (2004); Holos S.B., Relander T.-O., Airtightness measurements of wood frame low energy, Proceedings of 2nd BEST Conference; Hygrothermal Performance of Building Materials and Products - Determination of Water Vapour Transmission Properties, (2001); Thermal Insulation - Determination of Steady-state Thermal Resistance and Related Properties - Guarded Hot Plate Apparatus, (1991); Janssen H., Thermal Performance of Highly Insulated Wood Frame Walls, (1997); Janssens A., Reliable Control of Interstitial Condensation in Lightweight Roof Systems, (1998); Janssens A., Hens H., Interstitial condensation due to air leakage: A sensitivity analysis, Journal of Building Physics, 27, 1, pp. 15-29, (2003); Jokisalo J., Kurnitski J., Korpi M., Building leakage, infiltration, and energy performance analyses for Finnish detached houses, Building and Environment, 44, 2, pp. 377-387, (2009); Kalamees T., Airtightness and air leakages of new lightweight single-family detached houses in Estonia, Building and Environment, 42, 6, pp. 2369-2377, (2007); Kalamees T., Vinha J., Hygrothermal calculations and laboratory tests on timber-framed wall structures, Building and Environment, 38, 5, pp. 689-697, (2003); Kumaran K., Material Properties - Final Report, (1996); Langmans J., Klein R., Roels S., Hygrothermal risks of using exterior air barrier systems for highly insulated light weight walls: A laboratory investigation, Building and Environment, 56, 10, pp. 192-202, (2012); Langmans J., Klein R., De Paepe M., Potential of wind barriers to assure airtightness of wood-frame low energy constructions, Energy and Buildings, 42, 12, pp. 2376-2385, (2010); Langmans J., Nicolai A., Klein R., Numerical simulation of building components - Towards an efficient implementation of air convection in HAM-models, 9th Nordic Symposium on Building Physics; Langmans J., Nicolai A., Klein R., A quasi-steady state implementation of air convection in a transient heat and moisture building component model, Building and Environment, 58, 12, pp. 208-218, (2012); Li Q., Rao J., Fazio P., Development of HAM tool for building envelope analysis, Building and Environment, 44, 5, pp. 1065-1073, (2009); Nicolai A., Modelling and Numerical Simulation of Salt Transport and Phase Transitions in Unsaturated Porous Building Materials, (2007); Okland O., Convection in Highly-insulated Building Structures, (1998); Relander T.O., Bauwens G., Roels S., The influence of structural floors on the airtightness of wood-frame houses, Energy and Buildings, 43, pp. 639-652, (2011); Riesner K., Natürliche Konvektion in Losen Ausenwanddämmungen, (2003); Roels S., Carmeliet J., Hens H., A comparison of different techniques to quantify moisture content profiles in porous building materials, Journal of Thermal Envelope and Building Science, 27, 4, pp. 261-276, (2004); Sandberg P.I., Bankvall C., Sikander E., The effect and cost impact of poor airtightness - Information for developers and clients, Proceedings of Thermal Performance of the Exterior Envelopes of Whole Buildings X International Conference; Teasdale-St-Hilaire A., Derome D., Comparison of experimental and numerical results of wood-frame wall assemblies wetted by simulated wind-driven rain infiltration, Energy and Buildings, 39, 11, pp. 1131-1139, (2007); Tenwolde A., Rose W.B., Moisture control strategies for the building envelope, Journal of Building Physics, 19, 3, pp. 206-214, (1996); Thue J.V., Skogstad H.B., Homb A., Wood frame walls in cold climate - Vapour barrier requirements, Journal of Building Physics, 20, 1, pp. 67-75, (1996)</t>
  </si>
  <si>
    <t>Case Study-study analysis on hygrothermal performance of ETICS on concrete wall after low-budget energy renovation</t>
  </si>
  <si>
    <t>Hygrothermal performance of mineral wool and expanded polystyrene external thermal insulation composite system (ETICS/ EIFS) was studied in field conditions and by computer simulations with the Delphin program. Temperature and relative humidity were measured in a additionally insulated large panel concrete element wall from September 2011 to January 2013 in the cold climate of Estonia. Measurements of indoor climate, air leakage, and thermal bridges through building fabric were conducted before and after the low-budget energy renovation pilot project of an apartment building. Results showed that indoor climate and thermal comfort were not improved a lot in all aspects and the same was true for airtightness. Unacceptable thermal bridges remained at external wall/balcony, external wall/foundation wall junction, and also around the windows because they stayed in their original position. Built-in moisture of the whole wall dried out during the first heating season. Better agreement was found between measured and results if the convective moisture flow in addition to diffusion was taken into account in simulations. Average measured thermal transmittance during the winter was Uwall 0.17 W/(m2·K) in the Case Study of graphite enhanced EPS and 0.19 W/(m2·K) with mineral wool. Long-term durability of ETICS in cold climate and under wind driven rain loads need further investigation. © 2013 ASHRAE.</t>
  </si>
  <si>
    <t>Apartment houses; Budget control; Concretes; Mineral wool; Moisture; Thermal insulation; Wool; Yarn; Apartment buildings; Case Study study analysis; Expanded polystyrene; External thermal insulation composite systems; Hygrothermal performance; Long term durability; Temperature and relative humidity; Thermal transmittance; Walls (structural partitions)</t>
  </si>
  <si>
    <t>Younes C., Abi Shdid C., Bitsuamlak G., Air infiltration through building envelopes: A review, Journal of Building Physics, 35, 3, pp. 267-302, (2012); Buchanan C.R., Sherman M.H., A Mathematical Model for Infiltration Heat Recovery, LBNL-44294, (2000); Caffey G.E., Residential air infiltration, ASHRAE Transactions, 85, pp. 919-926, (1979); Kirkwood R.C., Fuel consumption in industrial buildings, Building Services Engineer, 45, pp. 23-31, (1977); Nevrala D.J., Etheridge D.W., Natural ventilation in well-insulated houses, Proceedings of International Centre for Heat and Mass Transfer, International Seminar, UNESCO, (1977); Persily A., Understanding Air Infiltration in Homes. Report PU/CEES #129, (1982); Sherman M., Matson N., Ventilation-energy liabilities in U.S. dwellings, Proceedings of the 14th AVIC Conference: Energy Impact of Ventilation and Air Infiltration, pp. 23-41, (1993); Chebil S., Galanis N., Zameureanu R., Computer simulation of therml impact of air infiltration through multilayered exterioir walls, Proceedings of the Eighth International IBPSA Conference, (2003); Boussa H., Tognazzi-Lawrence C., La Borderie C., A model for computation of leakage through damaged concrete structures, Cement and Concrete Composites, 23, 2-3, pp. 279-287, (2001); Danko G., Bahrami D., Heat and moisture flow simulation with multiflux, Proceedings of ASME Heat Transfer/Fluid Engineering, (2004); Buratti C., Mariani R., Moretti E., Mean age of air in a naturally ventilated office: Experimental data and simulations, Energy and Buildings, 43, pp. 2021-2027, (2011); Cheung J., Liu C., CFD simulations of natural behaviour in high-rise buildings in regular and staggered arrangements at various spacings, Energy and Buildings, 43, pp. 1149-1158, (2011); Orme M., Liddament M.W., Wilson A., Numerical Data for Air Infiltration &amp; Natural Ventilation Calculations, (1998); Orme M.S., Applications of the Air Infiltration and Ventilation Centre's Numerical Database, (1994); Chapter 26. Ventilation and infiltration, 2001 ASHRAE Handbook - Fundamentals, (2001); Hopkins L.P., Hansford B., Air flow through cracks, The Building Service Engineer, 42, pp. 123-131, (1974); Liu D.L., Nazaroff W.W., Modeling pollutant penetration across building envelopes, Atmospheric Environment, 35, pp. 4451-4462, (2001); Liu D.L., Air Pollutant Penetration Through Airflow Leaks into Building, (2002); Sherman M., McWilliams J., Air Leakage of U.S. Homes: Model Prediction. Lawrence Berkeley National Laboratory Report LBNL-62078, (2007); Academic Research A., Release 14.0, Help System, (2011); Tanasic N., Jankes G., Skistad H., CFD analysis and airflow measurements to approach large industrial halls energy efficiency: A Case Study study of a cardboard mill hall, Energy and Buildings, 43, pp. 1200-1206, (2011); Mak C.M., Niu J.L., Lee C.T., Chan K.F., A numerical simulation of wing walls using computational fluid dynamics, Energy and Buildings, 39, 9, pp. 995-1002, (2007); Motlagh A.H., Hashemabadi S.H., 3D CFD simulation and experimental validation of particle-to-fluid heat transfer in a randomly packed bed of cylindrical particles, International Communications in Heat and Mass Transfer, 35, 9, pp. 1183-1189, (2008); Gartmann A., Muller M., Vogt R., Comparison of CFD results with experimental data within a street canyon: The influence of averaging time, Proceedings of the 7th International Conference on Urban Climate, (2009); Talukdar P., Iskra C.R., Simonson C.J., Combined heat and mass transfer for laminar flow of moist air in a 3D rectangular duct: CFD simulation and validation with experimental data, International Journal of Heat and Mass Transfer, 51, 11-12, pp. 3091-3102, (2008); Chen Q., Srebric J., A procedure for verification, validation, and reporting of indoor environment CFD analyses, HVAC and R Research, 8, 2, pp. 201-216, (2002); Nabinger S., Persily A., Impacts of airtightening retrofits on ventilation rates and energy consumption in a manufactured home, Energy and Buildings, 43, pp. 3059-3067, (2011)</t>
  </si>
  <si>
    <t>Hygrothermal simulation programs are commonly used by design engineers to analyse moisture performance of building envelopes. For ventilated assemblies, programs typically require the user to enter cavity ventilation rates. If such input data are not prepared on physical grounds, it can impair the quality of the simulation results. In earlier papers: (1) estimations of ventilation rates in experimental walls based on cavity air velocity measurements; (2) comparative calculations based on monthly and annual tabular climate data, a simple driving force model and models of cavity airflow and heat balance, have been presented. In this study, the models and hourly climate field data were used to perform calculations of transient cavity ventilation rates for comparison with previous experimental results. For 13 different time periods extending from 24 to 91h, the calculated average ventilation rates were within or very close to the experimentally estimated limits for the ventilation rate. Additionally, the calculations captured the temporal variability and the physical cause of ventilation airflow in the cavities reasonably well. The applied calculation methodology can be developed into a user friendly approach to estimate realistic ventilation rate input data for hygrothermal purposes. Limitations and possible improvements of the methodology are discussed. The influence of the accuracy and resolution of the ventilation rate input data in simulations is demonstrated in a Case Study study. © 2013 Elsevier Ltd.</t>
  </si>
  <si>
    <t>Remki B., Abahri K., Tahlaiti M., Belarbi R., Hygrothermal transfer in wood drying under the atmospheric pressure gradient, Int. J. Thermal Sciences, 57, pp. 135-141, (2012); Dos Santos G.H., Mendes N., Heat, air and moisture transfer through hollow porous blocks, Int. J. Heat Mass Transf., 52, pp. 2390-2398, (2009); Funk M., Wakili K.G., Driving potentials of heat and mass transport in porous building materials: A comparison between general linear, thermodynamic and micromechanical derivation schemes, Trans. in Porous Media, 72, 3, pp. 273-294, (2007); Kunzel H.M., Holm A., Zirkelbach D., Karagiozis A.N., Simulation of indoor temperature and humidity conditions including hygrothermal interactions with the building envelope, Solar Energy, 78, 4, pp. 544-561, (2005); Pedersen C.R., Prediction of moisture transfer in building constructions, Building and .Environment, 27, 3, pp. 387-397, (1992); Qin M., Belarbi R., Ait-Mokhtar A., Nilsson L.O., Nonisothermal moisture transport in hygroscopic building materials: Modeling for the determination of moisture transport coefficients, Transport in Porous Media, 72, pp. 255-271, (2008); Steeman H.J., Van Belleghem M., Janssens A., De Paepe M., Coupled simulation of heat and moisture transport in air and porous materials for the assessment of moisture related damage, Building and Environment, 44, 10, pp. 2176-2184, (2009); Younsi R., Kocaefe D., Kocaefe Y., Three-dimensional simulation of heat and moisture transfer in wood, Applied Thermal en Gineering, 26, 11-12, pp. 1274-1285, (2006); Funk M., Wakili K.G., Driving potentials of heat and mass transport in porous building materials: A comparison between general linear, thermodynamic and micromechanical derivation schemes, Transport in Porous Media, 72, 3, pp. 273-294, (2007); Pedersen C.R., Combined Heat and Moisture Transfer in Building Constructions, (1990); Padfield T., The Role of Absorbent Materials in Moderating Changes of Relative Humidity, (1998); Peuhkuri R., Moisture Dynamics in Building Envelopes, (2003); Gertis K., Increased insulation in building - A way to avoid the coming change in climates?, Bauphysik, 13, 5, pp. 132-137, (1991); Dutta K., Principles of Mass Transfer and Separation Processes, (2007); Kunzel H.M., Simulaneous Heat and Moisture Transport in Building Components: One- and Two-Dimensional Calculation using Simple Parameters, (1995); Hens H.S.L.C., The vapor diffusion resistance and air permeance of masonry and roofing systems, Building and Environment, 41, 6, pp. 745-755, (2006); Trabelsi A., Abahrik B.R., Qin M., Assessment of temperature gradient effects on moisture transfer through thermogradient coefficient, Building Simulation, 5, 2, pp. 107-115, (2012); ANNEX41, Subtask 2: Experimental analysis of moisture buffering, IEA, (2007); Hagentoft C.-E., Et al., Assessment method of numerical prediction models for combined heat,air and moisture transfer in building components: Benchmarks for one-dimensional Case Studys, Journal of Thermal Envelope and Building Science, 27, 4, pp. 327-352, (2004); Turner P., Rousset P., Remond R., Perre P., An experimental and theoretical investigation of the thermal treatment of wood (Fagus sylvatica L.) in the range 200-260 °c, International Journal of Heat and Mass Transfer, 53, pp. 715-725, (2010); Steeman H.J., T'Joen C., Van Belleghem M., Janssens A., De Paepe M., Evaluation of the different definitions of the convective mass transfer coefficient for water evaporation into air, International Journal of Heat and Mass Transfer, 52, pp. 3757-3766, (2009); Funk M., Wakili K.G., Driving potentials of heat and mass transport in porous building materials: A comparison between general linear, thermodynamic and micromechanical derivation schemes, Transport in Porous Media, 72, 3, pp. 273-294, (2007); Dantas L.B., Orlande H.R.B., Cotta R.M., Estimation of dimensionless parameters of Luikov's system for heat and mass transfer in capillary porous media, International Journal of Thermal Sciences, 42, pp. 217-227, (2002); Dantas L.B., Helcio R.B., Cotta R.M., Improved lumped-differential formulations and hybrid solution methods for drying in porous media, International Journal of Thermal Sciences, 46, pp. 878-889, (2007); Zueco J., Ochoa L.M.L., Network numerical simulation of coupled heat and moisture transfer in capillary porous media, International Communications in Heat and Mass Transfer, 44, pp. 1-6, (2013)</t>
  </si>
  <si>
    <t>This paper investigates the effect of convection on moisture accumulation, and mould growth potential, in a lightweight timber frame wall system where the air barrier is situated at the exterior and the damaged or unsealed vapour retarder is situated at the interior. A two dimensional numerical HAM (Heat, Air and Moisture) model is constructed and verified to evaluate the hygrothermal behaviour of a light-weight timber frame wall system with varying airtightness attributes. The mould growth potential of the wall system in a Swedish climate is assessed and compared utilizing the data output from the numerical model simulations and a material specific mould growth index. The results suggest that the joints of the interior vapour retarder need not be sealed in the studied Case Study. While the degree of moisture accumulation is larger behind the exterior air-tight layer of the simulated wall assembly possessing an unsealed interior OSB layer (compared to sealed interior), the influence on mould growth potential is limited. © 2015 The Authors.</t>
  </si>
  <si>
    <t>Water vapor within a building can lead to condensation on or within building envelopes via airflow/air leakage, vapor diffusion, and on exposed surfaces. Water vapor inside a building naturally equalizes between adjacent environments via diffusion, and because air naturally flows towards regions of lower air pressure. Each transport mechanism requires different design approaches, since vapor diffusion calculations are relatively straightforward but predicting air leakage is much more difficult and often depends upon construction and workmanship issues rather than simple material properties. Condensation on interior surfaces is a more visible issue than the often-concealed issues of vapor diffusion and air leakage, but can still be difficult to diagnose and resolve. This session presents multiple Case Study studies and practical examples to demonstrate the nature of these issues and illustrates how design and construction issues can cause both short-and long-term problems. Specific issues such as exterior icing, condensation on fenestration, concealed condensation within interior and exterior walls, and deterioration/failure of roofing systems are discussed. © 2016 ASCE.</t>
  </si>
  <si>
    <t>Atmospheric pressure; Condensation; Diffusion; Structural design; Water vapor; Building enclosure; Building envelopes; Design and construction; Long-term problems; Lower air pressure; Moisture migration; Multiple-Case Study study; Transport mechanism; Forensic engineering</t>
  </si>
  <si>
    <t>The Glaser method was considered the most significant method for proof of moisture performance in building physics during the last decades. However, simulation methods and the concerted research of certain building materials' moisture behaviour as well as countless documented Case Studys of damage show that the Glaser method's assumptions often lead to false results. By modifying the Glaser method, taking into account the solar irradiation und convective damp penetrations into the construction, a practicable, simplified hygrothermal proof can be yielded for certain constructions yet. Using three exemplary constructions it is shown that applying the modified method in comparison with hygrothermal simulations provides safe results in some Case Studys, incorrect plannings in others. Evaluation of the respective results is therefore of the utmost importance and highlights the limits of the simplified proof's practicability. © 2016 Ernst &amp; Sohn Verlag für Architektur und technische Wissenschaften GmbH &amp; Co. KG, Berlin.</t>
  </si>
  <si>
    <t>Jokisalo J., Kurnitski J., Korpi M., Kalamees., Vinha J., Building leakage, infiltration, and energy performance analyses for finnish detached houses, Build. Environ., 44, 2, pp. 377-387, (2009); TenWolde A., Rose W.B., Moisture control strategies for the building envelope, J. Build. Phys., 19, 3, pp. 206-214, (1996); Janssens A., Hens H., Interstitial condensation due to air leakage: a sensitivity analysis, J. Build. Phys., 27, 1, pp. 15-19, (2003); Vinha J., Manelius E., Korpi M., Salminen K., Kurnitski J., Kiviste M., Laukkarinen A., Airtightness of residential buildings in Finland, Build. Environ., 93, pp. 128-140, (2015); Kunzel H.M., Simultaneous Heat and Moisture Transport in Building Component, (1995); Grunewald J., Diffusiver und konvektiver Stoff- und Energietransport in kapillarporösen Baustoffen, (1997); Olof Mundt-Petersen S., Harderup L.-E., Predicting hygrothermal performance in cold roofs using a 1d transient heat and moisture calculation tool, Build. Environ., 90, pp. 215-231, (2015); Glaser H., Temperatur und Dampfdruckverlauf in einer homogen Wand bei Feuchteausscheiding, Kältetechnik, pp. 174-181, (1958); Desmarais G., Derome D., Fazio P., Mapping of air leakage in exterior wall assemblies, J. Therm. Envel. Build. Sci., 24, 2, pp. 132-154, (2000); Derome D., Moisture accumulation in cellulose insulation caused by air leakage in flat wood frame roofs, J. Build. Phys., 28, 3, pp. 269-287, (2005); Zerihun Desta., Langmans J., Roels S., Experimental data set for validation of heat, air and moisture transport models of building envelopes, Build. Environ., 46, 5, pp. 1038-1046, (2011); Langmans J., Nicolai A., Klein R., Roels S., A quasi-steady state implementation of air convection in a transient heat and moisture building component model, Build. Environ., 58, pp. 208-218, (2012); Moisture buffering capacity of heavy timber structures directly exposed to an indoor climate: a numerical study, Build. Environ., 40, 10, pp. 1400-1412, (2005); Osanyintola O.F., Simonson C.J., Moisture buffering capacity of hygroscopic building materials: Experimental facilities and energy impact, Energy Build., 38, 10, pp. 1270-1282, (2006); Talukdar P., Olutmayin S.O., Osanyintola O.F., Simonson C.J., An experimental data set for benchmarking 1-D, transient heat and moisture transfer models of hygroscopic building materials. Part I: experimental facility and material property data, Int. J. Heat Mass Transf., 50, 23-24, pp. 4527-4539, (2007); Talukdar P., Osanyintola O.F., Olutimayin S.O., Simonson C.J., An experimental data set for benchmarking 1-D, transient heat and moisture transfer models of hygroscopic building materials. Part II: experimental, numerical and analytical data, Int. J. Heat Mass Transf., 50, 25-26, pp. 4915-4926, (2007); Steeman M., Van Belleghem M., Janssens A., De Paepe M., Coupled simulation of heat and moisture transport in air and porous materials for the assessment of moisture related damage, Build. Environ., 44, 10, pp. 2176-2184, (2009); Van Belleghem M., Verhaert I., Janssens A., De Paepe M., Full scale validation and sensitivity analysis of a CFD-HAM model, 10th REHVA World Congress: Sustainable Energy Use in Buildings (Clima 2010), (2010); Van Belleghem M., Steeman M., Willockx A., Janssens A., De Paepe M., Benchmark experiments for moisture transfer modelling in air and porous materials, Build. Environ., 46, 4, pp. 884-898, (2011); Van Belleghem M., Steeman M., Janssen H., Janssens A., De Paepe M., Validation of a coupled heat, vapour and liquid moisture transport model for porous materials implemented in CFD, Build. Environ., 81, pp. 340-353, (2014); Zirkelbach D., Kunzel H.M., Schafaczek B., Dampfkonvektion wird berechenbar - Instationäres Modell zur Berücksichtigung von konvektivem Feuchteeintrag bei der Simulation von Leicht- baukonstruktionen, 4th International Symposium on Building and Ductwork Airtightness &amp; 30th AIVC Conference, pp. 1-8, (2009); Kunzel H.M., Modeling Air Leakage in Hygrothermal Envelope Simulation, BEST 3 Conference Atlanta, (2012); Tariku F., Kumaran K., Fazio P., Transient model for coupled heat, air and moisture transfer through multilayered porous media, Int. J. Heat Mass Transf., 53, 15-16, pp. 3035-3044, (2010); Li Q., Rao J., Fazio P., Development of HAM tool for building envelope analysis, Build. Environ., 44, 5, pp. 1065-1073, (2009); Langmans J., Feasibility of Exterior Air Barriers in Timber Frame Construction, (2013); van Schijndel A.W.M., Integrated modeling of dynamic heat, air and moisture processes in buildings and systems using SimuLink and COMSOL, Build. Simul., 2, 2, pp. 143-155, (2009); Kayello A., Fazio P., Rao J., Investigation of the Hygrothermal Performance of a SIP Test Hut with an Unventilated and Ventilated Attic for the Canadian North CCTC 2013, EIC Climate Change Technology Conference, (2013); Abadie M.O., Finlayson E.U., Gadgil A.J., Infiltration Heat Recovery in Building Walls: Computational Fluid Dynamics Investigations Results, (2002); Belleudy C., Kayello A., Woloszyn M., Ge H., Fazio P., Chhay M., Quenard D., A heat-airflow model for simulating the effects of air leakage on the temperature field in porous insulation, 10th Nordic Symposium on Building Physics, pp. 79-86, (2014); Hagentoft C.-E., Kalagasidis A.S., Adl-Zarrabi B., Roels S., Carmeliet J., Hens H., Grunewald J., Funk M., Becker R., Shamir D., Adan O., Brocken H., Kumaran K., Djebbar R., Assessment method of numerical prediction models for combined heat, air and moisture transfer in building components: benchmarks for one-dimensional Case Studys, J. Build. Phys., 27, 4, pp. 327-352, (2004); Wahlgren P., Convection in loose-fill attic insulation-measurements and numerical simulations, Performance of Exterior Envelopes of Whole Buildings IX International Conference, Clearwater Beach, (2004); Riesner K., Wang J., Hagentoft C.-E., Georg-Wilhelm Mainka P.E., Combined heat, air, and moisture transport in loose-filled insulation - experiment and simulation, Thermal Performance of the Exterior Envelopes of Whole Buildings VIII, Florida, (2001); Langlais C., Arquis E., McCaa D.J., A theoretical and experimental study of convective effect in loose-fill thermal insulation, Insul. Mater. Test. Appl. ASTM STP, 1030, pp. 290-318, (1990); Nield D.A., Bejan A., Convection in Porous Media, (2006); Buchanan C.R., Sherman M.H., A Mathematical Model for Infiltration Heat Recovery, (2000); Kunzel H.M., Kiessl K., Calculation of heat and moisture transfer in exposed building components, Int. J. Heat Mass Transf., 40, 1, pp. 159-167, (1996); COMSOL Multiphysics User's Guide- Version 5.0, (2014); Chapter 26-Heat, air and moisture control in building assemblies - Material properties, ASHRAE Handbook of Fundamentals, (2013); Labat M., Woloszyn M., Garnier G., Roux J.J., Dynamic coupling between vapour and heat transfer in wall assemblies: analysis of measurements achieved under real climate, Build. Environ., 87, pp. 129-141, (2015); Bock A., Treml S., Engelhardt M., Long-term settlement behavior of loose-fill cellulose insulation under different types of exposure, Eur. J. Wood Wood Prod., 73, 5, pp. 705-707, (2015); Airtightness issues in the building process, Proceedings of the 7th Symposium on Building Physics in the Nordic Countries, pp. 420-427, (2005); Hens H.L.S.C., Combined heat, air, moisture modelling: a look back, how, of help?, Build. Environ., 42, 91, pp. 138-151, (2015); Janssens A., Reliable Control of Interstitial Condensation in Lightweight Roof Systems: Calculation and Assessement Methods, (1998); Abele C., Transferts d'humidité à travers les parois: Evaluer les risques de condensation, (2009); Hens H., Building Physics - Heat, Air and Moisture: Fundamentals and Engineering Methods with Examples and Exercises, (2012)</t>
  </si>
  <si>
    <t>Compared to the overall building envelope airtightness concerning energetic aspects, the condensation caused by air exfiltration is still a challenge today. For a better understanding of the processes inside lightweight constructions, hot- and cold-box experiments and airflow measurements on 14 different full-scale wall assemblies under realistic climatic conditions were performed. The influences of different mineral wool airflow permeabilities and leak configurations, as well as different pressure differences were analyzed. Despite a certain level of uncertainty, the results show some interesting aspects about the influencing factors of the convective moisture entry. The distributions of the water content between sheathing and insulation samples show that more water remains inside the mineral wool with low air permeability, while in Case Study of the more air permeable mineral wool, more water accumulates in the sheathing. Moreover, the findings indicate that the moisture distribution over the height of the sheathing is more influenced by the pressure difference level than by insulation air permeability or arrangements of the small openings. For the tested configurations, a lateral flow due to openings near the studs shows the highest total moisture contents inside the assemblies. In contrast, we could not observe significant differences concerning the moisture content for the different leak arrangements and diameters with the same total leakage area under humidification test conditions, although differences in the flow behavior are clearly detected. However, another important finding of these experiments is that, despite good workmanship, a small amount of air and moisture seams to penetrate the sealing tape joints. © 2016 U.S. Government.</t>
  </si>
  <si>
    <t>Arena L., Owens P., Mantha P., Measured performance of an R-40 double-stud wall in Climate Zone 5a, The Thermal Performance of The Exterior Envelopes of Whole Buildings XII International Conference, (2013); Fraunhofer I.B.P.,  Pro V. 5.1, (2011); Hutcheon N., Principles applied to an insulated masonry wall, Canadian Building Digest, 50, (1964); Kane R., Titley G., Case Study histories of moisture monitoring in residential walls, Thermal Insulation: Materials and Systems, ASTM STP, 922, pp. 615-629, (1987); Maref W., Armstrong M., Rousseau M., Lei W., A field monitoring investigation of the effect of adding different exterior thermal insulation materials on the hygrothermal response of wood-frame walls in a cold climate, The Building Enclosure Science &amp; Technology Conference, (2010); Ministry of Municipal Affairs and Housing. Ontario Building Code 2012 Compendium, Supplementary Standard SB-1, (2012); National Building Code of Canada, (2015); Passive House Requirements, (2014); Proskiw G., The performance of energy-efficient residential building envelope systems, Proceedings of Thermal Performance of The Exterior Envelopes of Buildings VI, pp. 391-398, (1995); Smegal J., Straube J., High-R walls Case Study study analysis, Building America Report 0903, (2009); Smegal J., Straube J., Building America Special Research Project: High-R Walls Case Study Study Analysis (BA-0903), (2014); Straube J., Controlling cold-weather condensation using insulation, Building Science Digest, 163, (2011); Straube J., Burnett E., Building Science for Building Enclosures, (2005); Straube J., Onysko D., Schumacher C., Methodology and design of field experiments for monitoring the hygrothermal performance of wood frame enclosures, Journal of Building Physics, 26, 2, pp. 123-151, (2002); Trainor T., The Hygrothermal Performance of Exterior Insulated Wall Systems, (2014); Trainor T., Smegal J., Analysis of Exterior Insulated High-R Wall Systems, (2015); Ueno K., Monitoring of double-stud wall moisture conditions in the northeast, Building America Report, (2015)</t>
  </si>
  <si>
    <t>Glaser H., Temperatur und Dampfdruckverlauf in Einer Homogenen Wand Bei Feuchteausscheidung, Kältetechnik, pp. 174-181, (1958); Kunzel H.M., Kiessl K., Calculation of heat and moisture transfer in exposed building components, Int. J. Heat Mass Transfer, 40, 1, pp. 159-167, (1996); Grunewald J., Diffusiver und Konvektiver Stoff- Und Energietransport in Kapillarporösen Baustoffen (Ph.D. Thesis), (1997); Talukdar P., Osanyintola O.F., Olutimayin S.O., Simonson C.J., An experimental data set for benchmarking 1-D, transient heat and moisture transfer models of hygroscopic building materials. Part II: Experimental, numerical and analytical data, Int. J. Heat Mass Transfer, 50, 25-26, pp. 4915-4926, (2007); Zirkelbach D., Hartwig M., Beate Schafaczek K., Dampfkonvektion wird berechenbar-Instationäres Modell zur Berücksichtigung von konvektivem Feuchteeintrag bei der Simulation von Leichtbaukonstruktionen, 4th International Symposium on Building and Ductwork Airtightness &amp; 30th AIVC Conference, pp. 1-8, (2009); Desmarais G., Derome D., Fazio P., Mapping of air leakage in exterior wall assemblies, J. Therm. Envelope Build. Sci., 24, 2, pp. 132-154, (2000); Abadie M.O., Finlayson E.U., Gadgil A.J., Infiltration heat recovery in building walls: Computational fluid dynamics investigations results, Technical Report, (2002); Langlais C., Arquis E., McCaa D.J., A theoretical and experimental study of convective effect in loose-fill thermal insulation, Insul. Mater.: Test. Appl., ASTM STP, 1030, pp. 290-318, (1990); Silberstein A., Langlais C., Arquis E., Natural convection in light fibrous insulating materials with permeable interfaces: Onset criteria and its effect on the thermal performances of the product, J. Build. Phys., 14, 1, pp. 22-42, (1990); Saber H., Maref W., Elmahdy H., Swinton M., Glatzer R., 3d heat and air transport model for predicting the thermal resistances of insulated wall assemblies, J. Perform. Simul., pp. 75-91, (2012); Tariku F., Kumaran K., Fazio P., Transient model for coupled heat, air and moisture transfer through multilayered porous media, Int. J. Heat Mass Transfer, 53, 15-16, pp. 3035-3044, (2010); Li Q., Rao J., Fazio P., Development of HAM tool for building envelope analysis, Build. Environ., 44, 5, pp. 1065-1073, (2009); Van Schijndel A.W.M., Integrated modeling of dynamic heat, air and moisture processes in buildings and systems using SimuLink and COMSOL, Build. Simul., 2, 2, pp. 143-155, (2009); Dos Santos G.H., Mendes N., Heat, air and moisture transfer through hollow porous blocks, Int. J. Heat Mass Transfer, 52, 9-10, pp. 2390-2398, (2009); Aguilar-Madera C.G., Valdes-Parada F.J., Goyeau B., Alberto Ochoa-Tapia J., Aguilar-Madera C.G., One-domain approach for heat transfer between a porous medium and a fluid, Int. J. Heat Mass Transfer, 54, 9-10, pp. 2089-2099, (2011); Nespoli L., Janetti M.B., Ochs F., Comparing different approaches for moisture transfer inside constructions with air gaps, COMSOL Conference Rotterdam, (2013); Janetti M.B., Assessment of the moisture risk in constructions including convection inside air cavities, 10th Nordic Symposium on Building Physics, pp. 1038-1044; Kunzel H.M., Modeling air leakage in hygrothermal envelope simulation, BEST 3 Conference, (2012); Litvak A., Campagne de Mesure de l'Étanchéité à l'Air de 123 Logements RT2000 - Rapport Final\, (2005); Janssens A., Reliable Control of Interstitial Condensation in Lightweight Roof Systems: Calculation and Assessment Methods (Ph.D. Thesis), (1998); Langmans J., Nicolai A., Klein R., Roels S., A quasi-steady state implementation of air convection in a transient heat and moisture building component model, Build. Environ., 58, pp. 208-218, (2012); Nield D.A., Bejan A., Convection in Porous Media, (2006); Bird R.B., Stewart W.E., Lightfoot E.N., Transport Phenomena, (2002); Ashrae, Chapter 26 - Heat, Air and Moisture Control in Building Assemblies - Material Properties, (2013); Bejan A., Convection Heat Transfer, (2013); Chan W.R., Price P.N., Sohn M.D., Gadgil A.J., Analysis of US Residential Air Leakage Database, (2003); Beavers G.S., Joseph D.D., Boundary conditions at a natural permeable wall, J. Fluid Mech., 30, pp. 197-207, (1967); Belleudy C., Kayello A., Woloszyn M., Ge H., Fazio P., Chhay M., Quenard D., A heat-airflow model for simulating the effects of air leakage on the temperature field in porous insulation, 10th Nordic Symposium on Building Physics, pp. 79-86, (2014); Kunzel H.M., Simultaneous Heat and Moisture Transport in Building Component (Ph.D. Thesis), Fraunhofer IBP, (1995); Hagentoft C.-E., Kalagasidis A.S., Adl-Zarrabi B., Roels S., Carmeliet J., Hens H., Grunewald J., Funk M., Becker R., Shamir D., Adan O., Brocken H., Kumaran K., Djebbar R., Assessment method of numerical prediction models for combined heat, air and moisture transfer in building components: Benchmarks for one-dimensional Case Studys, J. Build. Phys., 27, 4, pp. 327-352, (2004); Galbraith G.H., McLean R.C., Guo J., The selection of appropriate flow potentials for moisture transport models, Proceedings of the 6th IBPSA Conference, pp. 8-10, (1997); Janssen H., Simulation efficiency and accuracy of different moisture transfer potentials, J. Build. Perform. Simul., 7, 5, pp. 379-389, (2014); Funk M., Wakili K.G., Driving potentials of heat and mass transport in porous building materials: A comparison between general linear, thermodynamic and micromechanical derivation schemes, Transp. Porous Media, 72, 3, pp. 273-294, (2008); Hens H., Building Physics - Heat, Air and Moisture: Fundamentals and Engineering Methods with Examples and Exercises, (2012); Kuwahara F., Shirota M., Nakayama A., A numerical study of interfacial convective heat transfer coefficient in two-energy equation model for convection in porous media, Int. J. Heat Mass Transfer, 44, 6, pp. 1153-1159, (2001); Buchanan C.R., Sherman M.H., A mathematical model for infiltration heat recovery, Report LBNL-44294; COMSOL; Belleudy C., Kayello A., Woloszyn M., Ge H., Experimental and numerical investigations of the effects of air leakage on temperature and moisture fields in porous insulation, Build. Environ., 94, pp. 457-466, (2015); Carnets Prebat Mininfil, Mémento étanchéité - Construction Ossature Bois - Isolation Thermique Intégrée. Report, (2010); TenWolde A., Rose W.B., Moisture control strategies for the building envelope, J. Building Phys., 19, 3, pp. 206-214, (1996); Janssens A., Hens H., Interstitial condensation due to air leakage: A sensitivity analysis, J. Building Phys., 27, 1, pp. 15-19, (2003)</t>
  </si>
  <si>
    <t>From the hygrothermal point of view, exterior insulation finishing systems (EIFS) are the preferred way to retrofit old buildings. However, in some Case Studys EIFS are not possible to apply (e.g., for historic buildings, individual flats, or technical reasons). An interior insulation can be applied in such Case Studys. Due to the dew-point shift and changed drying capacity of the wall, this might result in moisture and durability problems. There are different kinds of interior insulation systems and each one has its own way of moisture management. In this paper, the hygrothermal behavior of two different interior insulation systems with moderate vapor permeability and large insulation thickness will be discussed. A 200 mm EPS (expanded polystyrene) system and a 160 mm mineral wool system were monitored during a 18-month field test. Each system had been wall mounted on hollow block concrete masonry with orientation to South, West, and North. Temperature and relative humidity were monitored between interior insulation and the outer wall. The moisture content of the old plaster as well as the heat flux was measured. To test the impact of air leakage in the air barrier of the mineral wool system two elements with different numbers and sizes of leaks were investigated. Furthermore, hygrothermal simulations were verified with the collected data. © 2016 U.S. Government.</t>
  </si>
  <si>
    <t>The hygrothermal simulation model DELPHIN performs a transient simulation of energy and moisture transport in porous building materials and air gaps. The governing partial differential equations are solved with an advanced error control time integration algorithm. In comparison to the time scales of heat and moisture transport, air flow can be treated sufficiently well as steady-state process. The pressure and flow field needs to be updated whenever ambient air pressures change significantly or free convection is induced due to temperature or humidity variations. Within DELPHIN the air flow pattern is computed with a Darcy-type steady-state flow calculation. The calculation of the flow field is a time-consuming task and should only be done when necessary. A central question that impacts both physical results and performance is the update criteria for the quasi-steady flow field. Indeed, if the flow field is updated in with every change of temperature or moisture, we observe in some Case Studys significant performance losses. For all simulation Case Studys we use an error controlled time integration method. In the article we identify free convection inside an air gap as a performance critical simulation scenario. Dominating convective transport is responsible for divergence of the fully coupled simulation. Reduction of update frequency stabilizes simulation run without loss of calculation efficiency. These results may be generalized for less critical simulation Case Studys. © 2017 The Authors. Published by Elsevier Ltd.</t>
  </si>
  <si>
    <t>This paper utilizes computational fluid dynamics and heat, air, and moisture modeling to enhance the quality of results for the Case Study study of forced convection through an air cavity. Different turbulence models and near-wall modeling techniques were combined and a mesh sensitivity study was conducted to ensure numerical correctness. The results are evaluated and discussed regarding their application to HAM simulation. Different approaches for the CFD input to HAM modeling are assessed and a comparison of numerical HAM results with laboratory measurements is performed. Results reveal that the number of wall surface subdivisions should be determined dependent on the CHTC course to achieve most accurate numerical representation of heat flux measurements. © 2017 The Authors. Published by Elsevier Ltd.</t>
  </si>
  <si>
    <t>Numerical model for investigation of drying insulating-layers in floating floor screeds. Floors of heated residential buildings in German-speaking countries are generally composed by an insulating layer superimposed with floating floor screeds. An additional watertight layer is rarely applied above the screeds. In Case Study leakages occur over an unsealed floor, water may penetrate the screeds and be retained in the insulating layer. The standard procedure used in these Case Studys in order to dry the construction consists of induce an air stream through the insulating layer by means of a compressor, (i. e. technical drying). Until now, such procedure has been described only in a purely empirical way. A leak of knowledge about the physical process characterizing the technical drying, usually leads to an underestimation of the drying times. In this study a numerical model for numerical simulation of the drying behavior is proposed. This model allows an accurate determination of sufficient drying time, considering the local hygrothermal conditions, the material properties of the insulation, the geometry and the volume flow of the used compressor. Copyright © 2017 Ernst &amp; Sohn Verlag für Architektur und technische Wissenschaften GmbH &amp; Co. KG, Berlin</t>
  </si>
  <si>
    <t>The hygrothermal behaviour of the opaque building envelope (facades and roofs) is a topic worthy of investigation for the scientific community, especially in consideration of changes in construction techniques and lifestyle habits. For the presence of waterproofing layers, placed in the outer part of a structure, hygrothermal behaviour of flat roofs is of particular interest. In this paper, an original analytical model for evaluation of the hygrothermal behaviour of ventilated flat roofs is proposed. In particular, the authors provide a method for assessing the ventilation air flow rates necessary to avoid interstitial condensation in flat roofs. Dependency of the necessary ventilation air flow rates on geometrical, thermophysical, and climate parameters is investigated and discussed. After a simplified analytical treatment applicable to any type of ventilated flat roof, some examples are shown, referred to study Case Studys of flat roofs that are very widespread in Italy. The results obtained by the authors and discussed in the paper can be useful for architects and building engineers during the early design stage of buildings. © 2018 Elsevier Ltd</t>
  </si>
  <si>
    <t>Messchaert Z., (2004); Elk R.S.F.J., Priemus H., Niet-traditionele woningbouwmethoden in Nederland, samsom uitgeverij n.v, Alphen AAN den Rijn, (1970); Oerlemans L., Ham M., Zero energy renovation of nemavo-airey dwellings: a ventilation concept based on occupant behaviour, Proceedings of the 25th PLEA International Conference on Passive and Low Energy Architecture, Conference Proceedings PLEA Towards Zero Energy Building, (2008); Goodman D.C., Chant C., European Cities &amp; Technology: Industrial to Post-Industrial City, European Cities &amp; Technology: Industrial to Post-Industrial City, (1999); Harrison H.W., Mullin S., Reeves B., Stevens A., Non-traditional Houses: Identifying Non-Traditional Houses in the UK 1918-75, (2012); Liebregts M., Airey-woningen: Gedenkteken met Soberheid, Platform, 31, (2013); Ministry of Health, (1946); Janssens A., Hens H., Interstitial condensation due to air leakage: a sensitivity analysis, J. Thermal Envel. Build. Sci., 27, pp. 15-29, (2003); Kunzel H.M., Zirkelbach D., Advances in hygrothermal building component simulation: modelling moisture sources likely to occur due to rainwater leakage, J. Build. Perform. Simul., 6, pp. 346-353, (2013); Schellen H.L., Stappers M.H.L., (2011); Troi A., Energy Efficiency Solutions For Historic buildings: a Handbook, Energy Efficiency Solutions For Historic buildings: a Handbook, (2015); (2017); (2017); Therma T.R., (2017); Havinga L.C., Schellen H.L., On-site Measurements and Simulation Model Calibration of the Internal Insulation of Post-War Prefab Housing, (2019); Havinga L., Schellen H., Applying internal insulation in post-war prefab housing: understanding and mitigating the hygrothermal risks, Build. Environ., 144, pp. 631-647, (2018); Kloseiko P., Arumagi E., Kalamees T., Hygrothermal performance of internally insulated brick wall in cold climate: a Case Study study in a historical school building, J. Build. Phys., 38, pp. 444-464, (2015); Zagorskas J., Zavadskas E.K., Turskis Z., Burinskiene M., Blumberga A., Blumberga D., Thermal insulation alternatives of historic brick buildings in Baltic sea region, Energy Build, 78, pp. 35-42, (2014); Heseltine E., Rosen J., WHO Guidelines For Indoor Air quality: Dampness and Mould, (2009); Vereecken E., Hygrothermal Analysis of Interior Insulation For Renovation Projects, Dissertation, (2013); Kloseiko P., Varda K., Kalamees T., pp. 525-530, (2017); Orlik-Kozdon B., Steidl T., Impact of internal insulation on the hygrothermal performance of brick wall, J. Build. Phys., 41, pp. 120-134, (2017); Ueno K., Straube J., Van Straaten R., Field monitoring and simulation of a historic mass masonry building retrofitted with interior insulation, Proceedings of the Thermal Performance of the Exterior Envelopes of Whole Buildings XII International Conference, Clearwater Beach, Florida, USA, (2013); Yuan S., The hygrothermal performance of ventilated stucco walls using spray polyurethane foam insulations and a smart vapour retarder in the pacific northwest, Proceedings of the International Conference Thermal Performance of the Exterior Envelopes of Whole Buildings XII, Clearwater Beach, Florida, USA, (2013); Abdul Hamid A., Wallenten P., Hygrothermal assessment of internally added thermal insulation on external brick walls in swedish multifamily buildings, Build. Environ., 123, pp. 351-362, (2017); Robert W., Piotr K., pp. 927-932, (2017); Cho J., Park S., Lim T., Kim B.S., Experimental investigation on hygrothermal behaviour and the surface condensation risk of a data centre, Indoor Built Environ., 26, pp. 1362-1381, (2017); Haupl P., Fechner H., Grunewald J., Petzold H., The quantification of the moisture distribution in renovated historical wall structures and exposed monuments, WIT Trans. Built Environ., 55, pp. 507-516, (2001); Wegerer P., Bednar T., pp. 652-657, (2017); Antretter F., Pazold M., Radon J., Kunzel H., Kopplung von dynamischer wärmebrückenberechnung mit hygrothermischer gebäudesimulation, Bauphysik, 35, pp. 181-192, (2013); Hansen T.K., Bjarlov S.P., Peuhkuri R.H., Harrestrup M., Long term in situ measurements of hygrothermal conditions at critical points in four Case Studys of internally insulated historic solid masonry walls, Energy Build, 172, pp. 235-248, (2018); Peel M.C., Finlayson B.L., McMahon T.A., Updated world map of the Köppen-Geiger climate classification, Hydrol. Earth Syst. Sci., 11, pp. 1633-1644, (2007); De Mets T., Tilmans A., Loncour X., pp. 753-758, (2017); Vereecken E., Roels S., pp. 664-669, (2017); Knarud J.I., Geving S., pp. 771-776, (2017); Marincioni V., Altamirano-Medina H., pp. 183-188, (2017); Harrestrup M., Svendsen S., Internal insulation applied in heritage multi-storey buildings with wooden beams embedded in solid masonry brick façades, Build. Environ., 99, pp. 59-72, (2016); Finken G.R., Bjarlov S.P., Peuhkuri R.H., Effect of façade impregnation on feasibility of capillary active thermal internal insulation for a historic dormitory - a hygrothermal simulation study, Construct. Build. Mater., 113, pp. 202-214, (2016); Guizzardi M., Carmeliet J., Derome D., Risk analysis of biodeterioration of wooden beams embedded in internally insulated masonry walls, Construct. Build. Mater., 99, pp. 159-168, (2015); Wegerer P., Nackler J.N., Bednar T., pp. 1478-1483, (2015); Vereecken E., Roels S., Capillary active interior insulation: do the advantages really offset potential disadvantages?, Mater. Struct. Mater. Construct., 48, pp. 3009-3021, (2015); Guizzardi M., Derome D., Vonbank R., Carmeliet J., Hygrothermal behaviour of a massive wall with interior insulation during wetting, Build. Environ., 89, pp. 59-71, (2015); Hengsberger H., Kautsch P., Ruisinger U., Interior insulation without a vapour barrier - spray-on rendered recycled paper cellulose put to the test, Bauphysik, 38, pp. 98-111, (2015); Vereecken E., Van Gelder L., Janssen H., Roels S., Interior insulation for wall retrofitting – a probabilistic analysis of energy savings and hygrothermal risks, Energy Build, 89, pp. 231-244, (2015); Johansson P., Geving S., Hagentoft C.-E., Jelle B.P., Rognvik E., Kalagasidis A.S., Time B., Interior insulation retrofit of a historical brick wall using vacuum insulation panels: hygrothermal numerical simulations and laboratory investigations, Build. Environ., 79, pp. 31-45, (2014); Vereecken E., Roels S., A comparison of the hygric performance of interior insulation systems: a hot box-cold box experiment, Energy Build, 80, pp. 37-44, (2014); Morelli M., Svendsen S., Investigation of interior post-insulated masonry walls with wooden beam ends, J. Build. Phys., 36, pp. 265-293, (2013); Kramer M.A., Finch G., Hubbs B., Teetaert J., Monitoring of Historic Structures For Whole-Building Improvements, (2010); Pavlik Z., Cerny R., Hygrothermal performance study of an innovative interior thermal insulation system, Appl. Therm. Eng., 29, pp. 1941-1946, (2009); Pavlik Z., Cerny R., Experimental assessment of hygrothermal performance of an interior thermal insulation system using a laboratory technique simulating on-site conditions, Energy Build., 40, pp. 673-678, (2008); Toman J., Vimmrova A., Cerny R., Long-term on-site assessment of hygrothermal performance of interior thermal insulation system without water vapour barrier, Energy Build., 41, pp. 51-55, (2009); Cerny R., Madera J., Interior thermal insulation systems in the renovation of historical buildings: a computational analysis, WIT Trans. Built Environ., 55, pp. 405-414, (2001); Grunewald J., Ruisinger U., Haupl P., The rijksmuseum amsterdam – Hygrothermal analysis and dimensioning of thermal insulation, Proceedings of the 3rd International Building Physics Conference - Research in Building Physics and Building Engineering, pp. 345-352, (2006); Haupl P., Grunewald J., Ruisinger U., pp. 345-354, (2005); Kunzel H.M., Effect of interior and exterior insulation on the hygrothermal behaviour of exposed walls, Mater. Struct. Mater. Construct., 31, pp. 99-103, (1998); Odgaard T., Bjarlov S.P., Rode C., Interior insulation – Experimental investigation of hygrothermal conditions and damage evaluation of solid masonry façades in a listed building, Build. Environ., 129, pp. 1-14, (2018); Govaerts Y., Hayen R., de Bouw M., Verdonck A., Meulebroeck W., Mertens S., Gregoire Y., Performance of a lime-based insulating render for heritage buildings, Construct. Build. Mater., 159, pp. 376-389, (2018); Campbell N., McGrath T., Nanukuttan S., Brown S., Monitoring the hygrothermal and ventilation performance of retrofitted clay brick solid wall houses with internal insulation: two UK Case Study studies, Case Study Stud. Construct. Mater., 7, pp. 163-179, (2017); Koci V., Jerman M., Fiala L., Cerny R., (2017); Zhou X., Derome D., Carmeliet J., Hygrothermal modelling and evaluation of freeze-thaw damage risk of masonry walls retrofitted with internal insulation, Build. Environ., 125, pp. 285-298, (2017); Biseniece E., Zogla G., Kamenders A., Purvins R., Kass K., Vanaga R., Blumberga A., Thermal performance of internally insulated historic brick building in cold climate: a long term Case Study study, Energy Build., 152, pp. 577-586, (2017); Zhao J., Grunewald J., Ruisinger U., Feng S., Evaluation of capillary-active mineral insulation systems for interior retrofit solution, Build. Environ., 115, pp. 215-227, (2017); Zhou X., Carmeliet J., Derome D., Influence of envelope properties on interior insulation solutions for masonry walls, Build. Environ., 135, pp. 246-256, (2018); Odgaard T., Bjarlov S.P., Rode C., Influence of hydrophobation and deliberate thermal bridge on hygrothermal conditions of internally insulated historic solid masonry walls with built-in wood, Energy Build., 173, pp. 530-546, (2018); Koci V., Koci J., Madera J., Pavlik Z., Gu X., Zhang W., Cerny R., Thermal and hygric assessment of an inside-insulated brick wall: 2D critical experiment and computational analysis, J. Build. Phys., 41, pp. 497-520, (2018); Koci J., Madera J., Jerman M., Dolezelova M., Cerny R., (2018); Biseniece E., Freimanis R., Purvins R., Gravelsins A., Pumpurs A., Blumberga A., Study of hygrothermal processes in external walls with internal insulation, Environ. Climate Technol., 22, pp. 22-41, (2018); Magrini A., Lazzari S., Marenco L., Energy retrofitting of buildings and hygrothermal performance of building components: application of the assessment methodology to a Case Study study of social housing, Int. J. Heat Technol., 35, pp. S205-S213, (2017); Ibrahim M., Wurtz E., Biwole P.H., Achard P., Sallee H., Hygrothermal performance of exterior walls covered with aerogel-based insulating rendering, Energy Build, 84, pp. 241-251, (2014); Hoffmann C., Bachinger J., Refurbishment of an event centre – how building simulation was used to formulate some fundamental design guidelines for an architectural competition, Proceedings of BS 13th Conference of the International Building Performance Simulation Association, pp. 901-906, (2013); Koci V., Madera J., Cerny R., Computer aided design of interior thermal insulation system suitable for autoclaved aerated concrete structures, Appl. Therm Eng., 58, pp. 165-172, (2013); Ferreira T.M.D., Corvacho M.H.P., Hygrothermal analysis on the use of internal thermal insulation systems in portuguese residential buildings, pp. 1770-1777, (2007); Lohonyai A.J., Korany Y., Ross M.D., Effective foam insulation for single-wythe concrete masonry walls, J. Build. Phys., 37, pp. 200-210, (2013); Maia J., Ramos N.M.M., De Freitas V.P., pp. 2724-2729, (2015); Ahola S., Lahdensivu J., pp. 375-380, (2017); Kloseiko P., Kalamees T., Case Study study: in-situ testing and model calibration of interior insulation solution for an office building in cold climate, CESB 2016 - Central Europe Towards Sustainable Building, pp. 159-166, (2016); Galliano R., Ghazi Wakili K., Stahl T., Binder B., Daniotti B., Performance evaluation of aerogel-based and perlite-based prototyped insulations for internal thermal retrofitting: HMT model validation by monitoring at demo scale, Energy Build., 126, pp. 275-286, (2016); Alev U., Kalamees T., Avoiding mould growth in an interiorly insulated log wall, Build. Environ., 105, pp. 104-115, (2016); Arumagi E., Pihlak M., Kalamees T., Reliability of interior thermal insulation as a retrofit measure in historic wooden apartment buildings in cold climate, Energy Proced., 78, pp. 871-876, (2015); Kang Y., Chang S.J., Kim S., Analysis of hygrothermal performance of wood frame walls according to position of insulation and climate conditions, J. Korean Wood Sci. Technol., 44, pp. 264-273, (2016); Kunzel H.M., Flexible vapour control solves moisture problems of building assemblies—smart retarder to replace the conventional PE-Film, J. Thermal Envel. Build. Sci., 23, pp. 95-102, (1999); Bothwell K., Saich M., Mallion P., Retrofit of existing housing in the united kingdom: the carbon reduction possibilities, Proceedings of the 27th International Conference on Passive and Low Energy Architecture, Presses University Architecture &amp; Sustainable Development (Vol.2):, de Louvain, Louvain, Belgium, pp. 589-595, (2011); ASHRAE Handbook: Fundamentals, American Society of Heating, (2005); Kolsch P., Zirkelbach D., Nusser B., Et al., Airflow through lightweight wall assemblies - influence of size and location of leakages, Proceedings of the Buildings XIII Conference. Thermal Performance of the Exterior Envelopes of Whole Buildings XIII International Conference, pp. 459-484, (2016); Seiffert K., Damp Diffusion and Buildings: Prevention of Damp Diffusion Damage in Buildings Design, (1970); Kunzel H.M., Control M., Flat roof construction manual materials, design, applications, institut für internationale architektur-dokumentation, München, pp. 62-73, (2010); Kunzel H.M., Zirkelbach D., Schafaczek B., Modelling the effect of air leakage in hygrothermal envelope simulation, Fraunhofer Institute Building Enclosure Technology &amp; Environment Council, (2012); van Schijndel A.W.M., Integrated Heat Air and Moisture Modelling and Simulation, (2007); de Wit M., HAMBASE: Heat, Air and Moisture model For Building And Systems Evaluation, (2006); Spruijt J.G., Bischoff J.M.A., Validation of Natural Airflow Simulation Using HAMBase - Simulation of Multiple Benchmarks, (2014); Woloszyn M., Rode C., Tools for performance simulation of heat, air and moisture conditions of whole buildings, Build. Simul., 1, pp. 5-24, (2008); (2016); Coakley D., Raftery P., Keane M., A review of methods to match building energy simulation models to measured data, Renew. Sustain. Energy Rev., 37, pp. 123-141, (2014); Measurement of Energy, Demand, and Water Savings, (2014); Cornick S., Dalgliesh W.A., Adapting rain data for hygrothermal models, Build. Environ., 44, pp. 987-996, (2009); Cornick S.M., Kumaran M.K., A comparison of empirical indoor relative humidity models with measured data, J. Build. Phys., 31, pp. 243-268, (2008); Coskun T., Sahin C.D., Gulhan O., Arsan Z.D., Akkurt G.G., Chapter 1.11 - Ventilation Strategies for the preventive conservation of manuscripts in the necip paşa library, Exergetic, Energetic and Environmental Dimensions, pp. 179-192, (2018); Munoz-Gonzalez C.M., Leon-Rodriguez A.L., Navarro-Casas J., Air conditioning and passive environmental techniques in historic churches in mediterranean climate. a proposed method to assess damage risk and thermal comfort pre-intervention, simulation-based, Energy Build, 130, pp. 567-577, (2016); Laverge J., Delghust M., Van Den Bossche N., Janssens A., Airtightness assessment of single family houses in belgium, Int. J. Ventil., 12, pp. 379-390, (2014); Liddament M.W., A Guide to Energy Efficient Ventilation, (1996); Relander T.-O., Holos S., Thue J.V., Airtightness estimation—A state of the art review and an en route upper limit evaluation principle to increase the chances that wood-frame houses with a vapour- and wind-barrier comply with the airtightness requirements, Energy Build, 54, pp. 444-452, (2012); Ramos N.M., Delgado J.Q., Barreira E., De Freitas V.P., Hygrothermal properties applied in numerical simulation: interstitial condensation analysis, J. Build. Appra., 5, pp. 161-170, (2009); Wegerer P., Neusser M., Bednar T., Auswirkungen der luft(un)dichtheit auf die feuchtebelastung von konstruktionen mit innendämmsystemen, (2012); (2012)</t>
  </si>
  <si>
    <t>Bauklimatik Dresden B.; Rode C., Grau K.G., Whole building hygrothermal simulation model, Build. Eng., (2003); IBP F.; Mendes N., Ridley I., Lamberts R., Philippi P.C., Budag K., UMIDUS: a PC program for the prediction of heat and moisture transfer in porous building elements, Building Simulation Conference–IBPSA, 99, pp. 277-283, (1999); Berger J., Guernouti S., Woloszyn M., Buhe C., Factors governing the development of moisture disorders for integration into building performance simulation, J. Build. Eng., 3, pp. 1-15, (2015); Mendes N., Winkelmann F., Lamberts R., Philippi P., Moisture effects on conduction loads, Energy Build., 35, 7, pp. 631-644, (2003); Plathner P., Woloszyn M., Interzonal air and moisture transport in a test house: experiment and modelling, Build. Environ., 37, 2, pp. 189-199, (2002); Salonvaara M., Ojanen T., Holm A.H., Kunzel H.M., Karagiozis A., Moisture buffering effects on indoor air quality-experimental and simulation results, Proc. Build., 9, (2004); Fang L., Clausen G., Fanger P.O., Impact of temperature and humidity on the perception of indoor air quality, Indoor Air, 8, 2, pp. 80-90, (1998); Simonson C., Salonvaara M., Ojanen T., The effect of structures on indoor humidity–possibility to improve comfort and perceived air quality, Indoor Air, 12, 4, pp. 243-251, (2002); Woloszyn M., Kalamees T., Abadie M.O., Steeman M., Kalagasidis A.S., The effect of combining a relative-humidity-sensitive ventilation system with the moisture-buffering capacity of materials on indoor climate and energy efficiency of buildings, Build. Environ., 44, 3, pp. 515-524, (2009); Roels S., Carmeliet J., Hens H., Adan O., Brocken H., Cerny R., Pavlik Z., Ellis A.T., Hall C., Kumaran K., Et al., A comparison of different techniques to quantify moisture content profiles in porous building materials, J. Therm. Envelope Build. Sci., 27, 4, pp. 261-276, (2004); Derome D., Griffa M., Koebel M., Carmeliet J., Hysteretic swelling of wood at cellular scale probed by phase-contrast x-ray tomography, J. Struct. Biol., 173, 1, pp. 180-190, (2011); Barreira E., Almeida R.M., Delgado J., Infrared thermography for assessing moisture related phenomena in building components, Construct. Build. Mater., 110, pp. 251-269, (2016); Sfarra S., Ibarra-Castanedo C., Theodorakeas P., Avdelidis N.P., Perilli S., Zhang H., Nardi I., Koui M., Maldague X.P., Evaluation of the state of conservation of mosaics: simulations and thermographic signal processing, Int. J. Therm. Sci., 117, pp. 287-315, (2017); El Diasty R., Fazio P., Budaiwi I., Modelling of indoor air humidity: the dynamic behaviour within an enclosure, Energy Build., 19, 1, pp. 61-73, (1992); Feng C., Janssen H., Feng Y., Meng Q., Hygric properties of porous building materials: analysis of measurement repeatability and reproducibility, Build. Environ., 85, pp. 160-172, (2015); Busser T., Berger J., Piot A., Pailha M., Woloszyn M.; Labat M., Woloszyn M., Garnier G., Roux J.J., Dynamic coupling between vapour and heat transfer in wall assemblies: analysis of measurements achieved under real climate, Build. Environ., 87, pp. 129-141, (2015); James C., Simonson C.J., Talukdar P., Roels S., Numerical and experimental data set for benchmarking hygroscopic buffering models, Int. J. Heat Mass Tran., 53, 19-20, pp. 3638-3654, (2010); Talukdar P., Osanyintola O.F., Olutimayin S.O., Simonson C.J., An experimental data set for benchmarking 1-D, transient heat and moisture transfer models of hygroscopic building materials. Part II: experimental, numerical and analytical data, Int. J. Heat Mass Tran., 50, 25-26, pp. 4915-4926, (2007); Van Belleghem M., Steeman H.-J., Steeman M., Janssens A., De Paepe M., Sensitivity analysis of CFD coupled non-isothermal heat and moisture modelling, Build. Environ., 45, 11, pp. 2485-2496, (2010); Labat M., Chaleur - Humidité - Air dans les maisons à ossature bois : Expérimentation et modélisation, (2012); Simonson C.J., Salaonvaara M., Ojanen T., Heat and mass transfer between indoor air and a permeable and hygroscopic building envelope: Part II - verification and numerical studies, J. Build. Phys., 28, 2, pp. 161-185, (2004); Piot A., Hygrothermique du bâtiment : expérimentation sur une maison à ossature bois en conditions climatiques naturelles et modélisation numérique, (2009); Qin M., Walton G., Belarbi R., Allard F., Simulation of whole building coupled hygrothermal-airflow transfer in different climates, Energy Convers. Manag., 52, 2, pp. 1470-1478, (2011); Labat M., Woloszyn M., Moisture balance assessment at room scale for four Case Studys based on numerical simulations of heat–air–moisture transfers for a realistic occupancy scenario, J. Build. Perform. Simulat., 9, 5, pp. 487-509, (2016); Rafidiarison H., Etudes expérimentales des transferts de masse et de chaleur dans les parois des constructions en bois, en vue de leur modélisation. Applications aux économies d’énergie et au confort dans l'habitat, (2012); Kedowide Y.-A., Analyses expérimentales et numériques du comportement hygrothermique d'une paroi composée de matériaux fortement hygroscopiques, (2015); Boulet S., Caractérisation du confort hygrothermique et acoustique dans les constructions à base de bois, (2009); Labat M., Woloszyn M., Roux J.-J., Piot A., Garnier G.; Labat M., Woloszyn M., Garnier G., Roux J.J., Assessment of the air change rate of airtight buildings under natural conditions using the tracer gas technique. comparison with numerical modelling, Build. Environ., 60, pp. 37-44, (2013); Ge H., Yang X., Fazio P., Rao J., Influence of moisture load profiles on moisture buffering potential and moisture residuals of three groups of hygroscopic materials, Build. Environ., 81, pp. 162-171, (2014); Busser T., Berger J., Piot A., Pailha M., Woloszyn M., Comparative study of three models formoisture transfer in hygroscopic materials, Transport Porous Media, 125, pp. 1-32, (2018); Luikov A.V., Systems of differential equations of heat and mass transfer in capillary-porous bodies (review), Int. J. Heat Mass Tran., 18, 1, pp. 1-14, (1975); Teasdale-St-Hilaire A., Derome D., Comparison of experimental and numerical results of wood-frame wall assemblies wetted by simulated wind-driven rain infiltration, Energy Build., 39, 11, pp. 1131-1139, (2007); Belarbi R., Qin M., Ait-Mokhtar A., Nilsson L.-O., Experimental and theoretical investigation of non-isothermal transfer in hygroscopic building materials, Build. Environ., 43, 12, pp. 2154-2162, (2008); Evrard A., De Herde A., Hygrothermal performance of lime-hemp wall assemblies, J. Build. Phys., 34, 1, pp. 5-25, (2010); Labat M., Woloszyn M., Garnier G., Roux J.J., Dynamic coupling between vapour and heat transfer in wall assemblies: analysis of measurements achieved under real climate, Build. Environ., 87, pp. 129-141, (2015); Perre P., Pierre F., Casalinho J., Ayouz M., Determination of the mass diffusion coefficient based on the relative humidity measured at the back face of the sample during unsteady regimes, Dry. Technol., 33, 9, pp. 1068-1075, (2015); Coleman T.F., Li Y., An interior trust region approach for nonlinear minimization subject to bounds, SIAM J. Optim., 6, 2, pp. 418-445, (1996); Busser T., Berger J., Piot A., Pailha M., Woloszyn M.; Berger J., Dutykh D., Mendes N., On the optimal experiment design for heat and moisture parameter estimation, Exp. Therm. Fluid Sci., 81, pp. 109-122, (2017); Fujii T., Imura H., Natural-convection heat transfer from a plate with arbitrary inclination, Int. J. Heat Mass Tran., 15, 4, pp. 755-767, (1972); Kwiatkowski J., Woloszyn M., Roux J.-J., Modelling of hysteresis influence on mass transfer in building materials, Build. Environ., 44, 3, pp. 633-642, (2009); Rode C., Hansen K.K., Hysteresis and temperature dependency of moisture sorption–new measurements, 9th Nordic Symposium on Building Physics, pp. 647-654, (2011); D. Lelievre T., Glouannec P., Hygrothermal behavior of bio-based building materials including hysteresis effects: experimental and numerical analyses, Energy Build., 84, pp. 617-627, (2014); Colinart T., Lelievre D., Glouannec P., Experimental and numerical analysis of the transient hygrothermal behavior of multilayered hemp concrete wall, Energy Build., 112, pp. 1-11, (2016); Berger J., Busser T., Dutykh D., Mendes N.; Hameury S., The Hygrothermal Inertia of Massive Timber Connstructions, (2006); Liu M., Zhu Y., Park B., Claridge D.E., Feary D.K., Airflow reduction to improve building comfort and reduce building energy consumption–a Case Study study, Build. Eng., 105, (1999); Kalamees T., Korpi M., Vinha J., Kurnitski J., The effects of ventilation systems and building fabric on the stability of indoor temperature and humidity in Finnish detached houses, Build. Environ., 44, 8, pp. 1643-1650, (2009); Simonson C.J., Salonvaara M., Ojanen T., 110, 2; Osanyintola O.F., Simonson C.J., Moisture buffering capacity of hygroscopic building materials: experimental facilities and energy impact, Energy Build., 38, 10, pp. 1270-1282, (2006)</t>
  </si>
  <si>
    <t>Blocken B., Wind-driven rain on buildings: measurements, numerical modelling and applications, (2004); Burnett E., Straube J., Vents, Ventilation Drying, and Pressure Moderation, (1995); Grunewald J., Diffusiver und konvektiver Stoff- und Energie- transport in kapillarporösen Baustoffen, (1997); Hagentoft C.E., Kalagasidis A.S., Adl-Zarrabi B., Et al., Assessment method of numerical prediction models for combined heat, air and moisture transfer in building components: benchmarks for one-dimensional Case Studys, Journal of Thermal Envelope and Building Science, 27, 4, pp. 327-352, (2004); Hens H., Performance Based Building Design 1: From Below Grade Construction to Cavity Walls, (2012); Janssens A., Reliable control of interstitial condensation in lightweight roof systems. Calculation and assessment methods, (1998); Janssens A., Hens H., Interstitial condensation due to air leakage: a sensitivity analysis, Journal of Thermal Envelope and Building Science, 27, 1, pp. 15-30, (2003); Karagiozis A., Kunzel H., The effect of air cavity convection on the wetting and drying behavior of wood-frame walls using a multi-physics approach, Journal of ASTM International, 6, 10, pp. 1-15, (2009); Kunzel H.M., Verfahren zur ein- und zweidimesionalen Berechnung des dekoppelten Warme und Feuchtetransports in Bauteilen mit einfachen Kennwerten, (1994); Kunzel H.M., Karagiozis A.N., Kehrer M., Assessing the benefits of cavity ventilation by hygrothermal simulation, (2008); Langmans J., Feasibility of exterior air barriers in timber frame constructions, (2013); Langmans J., Roels S., Experimental analysis of cavity ventilation behind rainscreen cladding systems: a comparison of four measuring techniques, Building and Environment, 87, 5, pp. 177-192, (2015); Langmans J., Desta T., Alderweireldt L., Et al., Field study on the air change rate behind residential rainscreen cladding systems: a parameter analysis, Building and Environment, 95, 1, pp. 1-12, (2016); Nicolai A., Modeling and numerical simulation of salt transport and phase transitions in unsaturated porous building materials, (2007); Nicolai A., Grunewald J., Delphin 5 user manual and program reference, (2006); Okland O., Convection in highly insulated building structures, (1994); Roels S., VLIET test-building KU Leuven, Full Scale Test Facilities for Evaluation of Energy and Hygrothermal Performances, pp. 7-14, (2011); Salonvarra M., Karagiozis A., Pazera M., Et al., Air cavities behind claddings – what have we learned?, (2007); Sandin K., Temperature and moisture conditions in cavity walls, (1990); Sandin K., Skalmurskonstruktionens fuktoch temperaturbetingseler, (1991); Straube J.F., Burnett E.F.P., Vents, ventilation and masonry veneer wall systems, pp. 194-207, (1998); Straube J.F., Burnett E.F.P., Building Science for Building Enclosures, (2005); Straube J.F., Finch G., Ventilated wall claddings: review, field performance, and hygrothermal modeling, (2009); Straube J.F., van Straaten R., Burnett E., Field studies of ventilation drying, Thermal performance of the exterior envelopes of whole buildings IX, (2004); Tenwolde A., Carll C., Effect of cavity ventilation on moisture in walls and roofs, (1992); Van Belleghem M., Steeman M., Janssens A., Et al., Heat, air and moisture transport modelling in ventilated cavity walls, Journal of Building Physics, 38, 4, pp. 317-349, (2014); Vanpachtenbeke M., Timber frame walls with brick veneer cladding: reliability to fungal decay, (2019); Vanpachtenbeke M., Langmans J., Van den Bulcke J., Et al., On the drying potential of cavity ventilation behind brick veneer cladding: a detailed field study, Building and Environment, 123, pp. 133-145, (2017)</t>
  </si>
  <si>
    <t>Air leakages can create substantial excess moisture loads into envelope structures and degrade their hygrothermal performance. Multiple previous research projects have studied the behaviour and modelling of air leakages in building physics applications, but it is still quite rare to see air leakages being considered in practical building design simulations. The purpose of this paper is to present the selection of input parameters for air leakage simulations, utilisation of a factorial design to manage simulation Case Studys and the results for a timber-frame wall with and without air leakages. According to the results, the air permeability of mineral wool and the air pressure difference over the envelope were the two most important factors for the dry air mass flow through the structure, as opposed to gap width and leakage route. An ideally airtight structure had a better hygrothermal performance compared to leaky structure. However, when leakages were present, the exact yearly average air flow rate in the range 70…420 dm3/(m2h) did not have a strong correlation to the performance indicators. For the other studied variables, the existence of a 50 mm thick mineral wool insulation on the exterior side of the gypsum board wind barrier and the impacts from climate change had the biggest effect on the moisture performance of the structure. © 2021 Institute of Physics Publishing. All rights reserved.</t>
  </si>
  <si>
    <t>Wiik M.R.K., Et al., Lessons learnt from embodied GHG emission calculations in zero emission buildings (ZEBs) from the Norwegian ZEB research centre, Energy Build., 165, pp. 25-34, (2018); Bansal D., Singh R., Sawhney R.L., Effect of construction materials on embodied energy and cost of buildings—a Case Study study of residential houses in India up to 60 m2 of plinth area, Energy Build., 69, pp. 260-266, (2014); Cabeza L.F., Et al., Low carbon and low embodied energy materials in buildings: a review, Renew. Sustain. Energy Rev., 23, pp. 536-542, (2013); Resch E., Et al., Estimating dynamic climate change effects of material use in buildings — timing, uncertainty, and emission sources, Build. Environ., (2021); Asdrubali F., Et al., A review of unconventional sustainable building insulation materials, Sustainable Materials and Technologies, 4, pp. 1-17, (2015); Zabalza Bribian I., Valero Capilla A., Aranda Uson A., Life cycle assessment of building materials: comparative analysis of energy and environmental impacts and evaluation of the eco-efficiency improvement potential, Build. Environ., 46, 5, pp. 1133-1140, (2011); Densley Tingley D., Hathway A., Davison B., An environmental impact comparison of external wall insulation types, Build. Environ., 85, pp. 182-189, (2015); Hill C., Norton A., Dibdiakova J., A comparison of the environmental impacts of different categories of insulation materials, Energy Build., 162, pp. 12-20, (2018); Takano A., Et al., The effect of material selection on life cycle energy balance: a Case Study study on a hypothetical building model in Finland, Build. Environ., 89, pp. 192-202, (2015); Schiavoni S., Et al., Insulation materials for the building sector: a review and comparative analysis, Renew. Sustain. Energy Rev., 62, pp. 988-1011, (2016); Lopez Hurtado P., Et al., A review on the properties of cellulose fibre insulation, Build. Environ., 96, pp. 170-177, (2016); Jerman M., Et al., Thermal and hygric properties of biomaterials suitable for interior thermal insulation systems in historical and traditional buildings, Build. Environ., 154, pp. 81-88, (2019); Latif E., Et al., Quasi steady state and dynamic hygrothermal performance of fibrous Hemp and Stone Wool insulations: two innovative laboratory based investigations, Build. Environ., 95, pp. 391-404, (2016); Volf M., Divis J., Havlik F., Thermal, moisture and biological behaviour of natural insulating materials, Energy Procedia, 78, pp. 1599-1604, (2015); Zakaria S., Et al., Study of the hygrothermal behavior of wood fiber insulation subjected to non-isothermal loading, Appl. Sci., 9, 11, (2019); Vinha J., Analysis method to determine sufficient water vapour retarder for timber-framed walls, 8th Symposium on Building Physics in the Nordic Countries NSB2008, (2008); Peuhkuri R., Et al., Fugtfordeling i absorberende isoleringsmaterialer: Moisture distribution in absorbent insulation, BYG Sagsrapport Nr, (2003); Simonson C.J., Ojanen T., Salonvaara M., Moisture performance of an airtight, vapor-permeable building envelope in a cold climate, J. Therm. Envelope Build. Sci., 28, pp. 205-226, (2005); Mlakar J., Strancar J., Temperature and humidity profiles in passive-house building blocks, Build. Environ., 60, pp. 185-193, (2013); Janssens A., Hens H., Interstitial condensation due to air leakage: a sensitivity analysis, J. Build. Phys., 27, 1, pp. 15-29, (2003); Okland O., Convection in highly-insulated building structures, Department of Civil and Transport Engineering, (1998); Derome D., Moisture accumulation in cellulose insulation caused by air leakage in flat wood frame roofs, J. Therm. Envelope Build. Sci., 28, 3, pp. 267-287, (2005); Desmarais G., Derome D., Fazio P., Mapping of air leakage in exterior wall assemblies, J. Build. Phys., 24, 2, pp. 132-154, (2000); Desta T.Z., Langmans J., Roels S., Experimental data set for validation of heat, air and moisture transport models of building envelopes, Build. Environ., 46, 5, pp. 1038-1046, (2011); Langmans J., Klein R., Roels S., Hygrothermal risks of using exterior air barrier systems for highly insulated light weight walls: a laboratory investigation, Build. Environ., 56, pp. 192-202, (2012); Ge H., Et al., Field study of hygrothermal performance of highly insulated wood-frame walls under simulated air leakage, Build. Environ., 160, (2019); Ojanen T., Kumaran K., Effect of exfiltration on the hygrothermal behaviour of a residential wall assembly, J. Therm. Envelope Build. Sci., 19, 3, pp. 215-227, (1996); Wang L., Ge H., Stochastic modelling of hygrothermal performance of highly insulated wood framed walls, Build. Environ., 146, pp. 12-28, (2018); Watt D., Sjoberg S., Wahlgren P., Hygrothermal performance of a light weight timber wall assembly with an exterior air barrier, Energy Procedia, 78, (2015); Wang L., Ge H., Effect of air leakage on the hygrothermal performance of highly insulated wood frame walls: comparison of air leakage modelling methods, Build. Environ., 123, pp. 363-377, (2017); Belleudy C., Et al., Experimental and numerical investigations of the effects of air leakage on temperature and moisture fields in porous insulation, Build. Environ., 94, pp. 457-466, (2015); Kalamees T., Kurnitski J., Moisture convection performance of external walls and roofs, J. Build. Phys., 33, 3, pp. 225-247, (2010); Geving S., Lunde E., Holme J., Laboratory investigations of moisture conditions in wood frame walls with wood fiber insulation, Energy Procedia, 78, pp. 1455-1460, (2015); Rasmussen T.V., Nicolajsen A., Assessment of the performance of organic and mineral-based insulation products used in exterior walls and attics in dwellings, Build. Environ., 42, pp. 829-839, (2007); Latif E., Ciupala M.A., Wijeyesekera D.C., The comparative in situ hygrothermal performance of Hemp and Stone Wool insulations in vapour open timber frame wall panels, Construct. Build. Mater., 73, pp. 205-213, (2014); Latif E., Et al., Hygrothermal performance of wood-hemp insulation in timber frame wall panels with and without a vapour barrier, Build. Environ., 92, pp. 122-134, (2015); Levin P., Gudmundsson K., Moisture in constructions with loose-fill insulation and no vapour barrier, Nord. J. Build. Phys., 2, (2000); Gullbrekken L., Grynning S., Gaarder J.E., Thermal performance of insulated constructions—experimental studies, Buildings, 9, 2, (2019); Gullbrekken L., Et al., Hot-Box measurements of highly insulated wall, roof and floor structures, J. Build. Phys., 41, 1, pp. 58-77, (2017); Pihelo P., Kalamees T., The effect of thermal transmittance of building envelope and material selection of wind barrier on moisture safety of timber frame exterior wall, J. Build. Eng., 6, pp. 29-38, (2016)</t>
  </si>
  <si>
    <t>Building integrated photovoltaic (BIPV) systems are being developed for exterior wall construction, but the effect of BIPV as a replacement for conventional cladding on durability must be considered. This study compares the hygrothermal performance of a low-rise residential wood-frame wall with different options for exterior cladding. These options include fiber cement and BIPV in both the open circuit (OC) operating state and maximum power point tracking (MPP) state. Hygrothermal simulations of each Case Study were performed using WUFI Pro 6. Parameters examined include relative humidity (RH), moisture content (MC), and mould growth index (M ) of critical layers in the wall assembly, the oriented strand board (OSB) and the wall assembly air cavity. The results show that, under low ventilation rates within the air cavity with rain leakage assumed, the BIPV cladding options have worse hygrothermal performance compared to fiber cement cladding due to solar-driven moisture accumulation and impermeable cladding surface. The BIPV clad wall assembly under MPP state performs slightly better than when under OC state. These results suggest that a minimum of 20 ACH cavity ventilation rate is required in maintaining hygrothermal performance of wood-frame construction when adding BIPV cladding, which is typically not a concern since the ventilation rate of naturally ventilated BIPV systems is in the range of 200ACH and greater than 600 ACH in mechanically ventilated BIPV/T systems. © 2023, The Author(s), under exclusive license to Springer Nature Singapore Pte Ltd.</t>
  </si>
  <si>
    <t>IPCC Climate Change 2021: The Physical Science Basis, (2021); Bizikova L., Neale T., Burton I., Canadian Communities’ Guidebook for Adaptation to Climate Change, (2009); Nijland T.G., Adan O.C., Van Hees R.P., van Etten B.D., Evaluation of the effects of expected climate change on the durability of building materials with suggestions for adaptation, Heron, 54, pp. 37-48, (2009); Nick V., Mundt-Petersen S., Kalagasidis A., De Wilde P., Future moisture loads for buildings facades in Sweden: Climate change and wind-driven rain, Build. Environ, 93, pp. 362-375, (2015); Sehizadeh A., Ge H., Impacts of future climates on the durability of typical residential wall assemblies retroffited to the PassiveHaus for Eastern Canada region, Build. Environ, 97, pp. 111-125, (2016); Bylund Melin C., Hagentoft C.E., Holl K., Nik V.M., Kilian R., Simulations of moisture gradients in wood subjected to changes in relative humidity and temperature due to climate change, Geosciences, 8, (2018); Hayles C., Huddleston M., Chinoowsky P., Helman J., Quantifying the effects of projected climate change on the durability and service life of housing in Wales, UK, Buildings, 12, (2022); Vandemeulebroucke I., Kotova L., Caluwaerts S., Van Den Bossche N., Degradation of brick masonry walls in Europe and the Mediterranean: Advantages of response-based analysis to study climate change, Build. Environ, 230, (2023); Chang S., Wi S., Kang Y., Kim S., Moisture risk assessment of cross-laminated timber walls: Perspectives on climate conditions and water vapor resistance performance of building materials, Build. Environ, 168, (2020); Chang S.J., Yoo J., Wi S., Kim S., Numerical analysis on the hygrothermal behavior of building envelope according to CLT wall assembly considering the hygrothermal-environmental zone in Korea, Environ. Res, 191, (2020); Chang S., Kang Y., Yun B., Yang S., Kim S., Assessment of effect of climate change on hygrothermal performance of cross-laminated timber building envelope with modular construction, Case Study Stud. Therm. Eng, 28, (2021); Defo M., Lacasse M., Effects of Climate Change on the Moisture Performance of Tallwood Building Envelope, Buildings, 11, (2021); NEBC National Energy Code of Canada for Buildings, (2020); NBCC National Building Code of Canada, (2020); Cornick S., Dalgliesh W.A., A moisture index approach to characterizing climates for moisture management of building envelopes, Proceedings of the 9th Canadian Conference on Building Science and Technology; Glass S., Wang J., Easley S., Finch G., Building enclosure design for cross-laminated timber construction, CLT Handbook: Cross-Laminated Timber, pp. 393-441, (2013); Nordic Structures, Nordic Engineered Wood, Non-Residential Design, (2015); Finch G., Wang J., Building enclosure design design of cross-laminated timber construction, Canadian CLT Handbook, pp. 517-581, (2019); Kumaran M.K., Lackey J.C., Normandin N., Tariku F., van Reenen D., A thermal and moisture transport property database for common building and insulation materials, Final Report from ASHRAE Research Project 1018-RP, (2002); AlSayegh G., Hygrothermal Properties of Cross-Laminated Timber and Moisture Response of Wood at High Relative Humidity, Ph.D. Thesis, (2012); Team C.W., Pachauri R., Meyer L., IPCC Climate Change 2014: Synthesis Report, (2014); Gaur A., Lacasse M., Armstrong M., Climate data to undertake hygrothermal and whole building simulations under projected climate change influences for 11 Canadian cities, Data, 4, (2019); Criteria for Moisture-Control Design Analysis in Buildings, (2016); Nath D., U.K. Field Measurements of Wind-Driven Rain on Mid- and High-Rise Buildings in Two Canadian Regions, Ph.D. Thesis, (2015); Sontag L., Nicolai A., Vogelsang S., Validierung der Solverimplementierung des Hygrothermischen Simulationsprogramms Delphin, (2013); Langmans J., Nicolai A., Klein R., Roels S., A quasi-steady state implementation of air convection in a transient heat and moisture building component model, Build. Environ, 58, pp. 208-218, (2012); Vogelsang S., Kehl D., Ruisinger U., Meissner F., Three-dimensional HAM Transport in Timber Beam Ends–Measurements and Simulation, Proceedings of the 5th German-Austrian Conference of the International Building Performance Simulation Association (IBPSA); Hejazi B., Sakiyama N.R., Frick J., Garrecht H., Hygrothermal Simulations Comparative Study: Assessment of Different Materials Using WUFI and DELPHIN Software, Proceedings of the 16th IBPSA International Conference; Ruisinger U., Kautsch P., Comparison of hygrothermal 2D- and 3D-simulation results with measurements from a test house, E3S Web of Conferences, 172, (2020); Janssens A., Reliability Control of Interstitial Condensation in Lightweight Roof Systems, Ph.D. Thesis, (1998); Nicolai A., Modeling and Numerical Simulation of Salt Transport and Phase Transitions in Unsaturated Porous Building Materials, Ph.D. Thesis, (2008); Langmans L., Feasibility of Exterior Air Barriers in Timber Frame Construction, Ph.D. Thesis, (2013); Nicolai A., Grunewald J., DELPHIN 5 User Manual and Program Reference, (2014); Candenedo L., Derome D., Fazio P., Ge H., Analysis of Montreal 30-year weather data to select loading conditions for large-scale tests on wall panels, Proceedings of the 3th International Building Physics Conference; Salonvaara M., Sedlbauer K., Holm A., Pazera M., Effect of selected weather year for hygrothermal analyses, Proceedings of the Thermal Performance of the Exterior Envelopes of Whole Buildings XI Conference; Zhou X., Derome D., Carmeliet J., Robust moisture reference year methodology for hygrothermal simulations, Build. Environ, 110, pp. 23-35, (2016); Barreira E., Simoes M.L., Delgado J.M.P.Q., Sousa I., Procedures in the construction of a test reference year for Porto-Portugal and implications for hygrothermal simulation, Sustain. Cities Soc, 32, pp. 397-410, (2017); Lacasse M.A., Ge H., Hegel M., Jutras R., Laouadi A., Sturgeon G., Wells J., Guideline on Design for Durability of Building Envelopes, CRBCPI-Y2-R19, (2018); Straube J., Burnett E., Vents, Ventilation Drying, and Pressure Moderation, (1995); Straube J., Finch G., Ventilated Wall Claddings: Review, Field Performance, and Hygrothermal Modelling Research Report-0907, (2009); Defo M., Wang L., Lacasse M., Evaluation of the Durability and Resilience of Wall Assemblies to Climate Change Using Hygrothermal Simulations RR NRCC-CONST-56534E, (2021); Henninger J.H., Solar Absorbance and Thermal Emittance of Some Common Space Craft Thermal-Control Coatings RP-1121, (1984); Hygrothermal Performance of Buildings—Calculation and Presentation of Climatic Data, (2009); Incropera F.P., DeWitt D.P., Fundamentals of Heat and Mass Transfer, (1996); Wang J.Y., Stirling R., Paul I., Morris A., Taylor J., Lloyd G., Kirker S., Lebow M., Mankowski H., Barnes M., Et al., Durability of mass timber structures: A review of the biological risks, Wood Fiber. Sci, 50, pp. 110-127, (2018); Viitanen H.A., Ritschkoff A., Mould Growth in Pine and Spruce Sapwood in Relation to Air Humidity and Temperature, (1991); Viitanen H.A., Modelling the time factor in the development of mould fungi—The effect of critical humidity and temperature conditions on pine and spruce sapwood, Holzforshung, 51, pp. 6-14, (1997); Hukka A., Viitanen H.A., A mathematical model of mould growth on wooden material, Wood Sci. Technol, 33, pp. 475-485, (1999); Ojanen T., Viitanen H., Peuhkuri R., Lahdesmaki K., Vinha J., Salminen K., Mold growth modeling of building structures using sensitivity classes of materials, Proceedings of the Thermal Performance of the Exterior Envelopes of Whole Building XI Conference; Yeo I., Johnson R., A new family of power transformations to improve normality or symmetry, Biometrika, 87, pp. 954-959, (2000); Pedregosa F., Varoquaux G., Gramfort A., Michel V., Thirion B., Grisel O., Blondel M., Prettenhofer P., Weiss R., Dubourg V., Et al., Scikit-learn: Machine Learning in Python, J. Mach. Learn. Res, 12, pp. 2825-2830, (2011); Van Rossum G., Drake F.L., Python 3 Reference Manual, (2009); Welch B.L., The generalization of "Student’s" problem when several different population variances are involved, Biometrika, 34, pp. 28-35, (1947); Virtanen P., Gommers R., Oliphant T.E., Haberland M., Reddy T., Cournapeau D., Burovski E., Peterson P., Weckesser W., Bright J., Et al., SciPy 1.0: Fundamental Algorithms for Scientific Computing in Python, Nat. Methods, 17, pp. 261-272, (2000)</t>
  </si>
  <si>
    <t>Jones D., Introduction to the Performance of Bio-Based Building Materials, (2017); Markstrom E., Bystedt A., Fredriksson M., Sandberg D., Perceptions of Swedish Architects and Contractors for the Use of Bio-Based Building Materials, Proceedings of the COST Action FP1407 2nd Conference—Innovative Production Technologies and Increased Wood Products Recycling and Reuse, pp. 29-30; Cascione V., Maskell D., Shea A., Walker P., A review of moisture buffering capacity: From laboratory testing to full-scale measurement, Constr. Build. Mater, 200, pp. 333-343, (2019); Salonvaara M., Kunzel H., Ojanen T., Karagiozis A., Holm A., Moisture Buffering Effects on Indoor Air Quality—Experimental and Simulation Results Mikael, Proceedings (CD) of the Performance of Exterior Envelopes of Whole Buildings IX International Conference, 11, (2004); Motamedi S., Rousse D.R., Promis G., The Evolution of Crop-Based Materials in the Built Environment: A Review of the Applications, Performance, and Challenges, Energies, 16, (2023); Osanyintola O.F., Simonson C.J., Moisture buffering capacity of hygroscopic building materials: Experimental facilities and energy impact, Energy Build, 38, pp. 1270-1282, (2006); Mendes N., Winkelmann F.C., Lamberts R., Philippi P.C., Moisture effects on conduction loads, Energy Build, 35, pp. 631-644, (2003); Bestimmung der Wärmeleitfähigkeit mit dem Plattengerät—Teil 2: Ermittlung des Nennwertes und des Bemessungswertes der Wärmeleitfähigkeit für homogene Baustoffe, (2009); Fischer H., Aichholzer M., Korjenic A., Ecological Potential of Building Components in Multi-Storey Residential Construction: A Comparative Case Study Study between an Existing Concrete and a Timber Building in Austria, Sustainability, 15, (2023); Magwood C., Bowden E., Trottier M., Emissions of Materials Benchmark Assessment for Residential Construction, (2022); Ruther N., Materialtechnische, Grundlagen Naturfaserdämmstoffe, (2022); Latif E., Ciupala M.A., Tucker S., Wijeyesekera D.C., Newport D.J., Hygrothermal performance of wood-hemp insulation in timber frame wall panels with and without a vapour barrier, Build. Environ, 92, pp. 122-134, (2015); Bunkholt N.S., Ruther P., Gullbrekken L., Geving S., Effect of forced convection on the hygrothermal performance of a wood frame wall with wood fibre insulation, Build. Environ, 195, (2021); Latif E., Lawrence R.M.H., Shea A.D., Walker P., An experimental investigation into the comparative hygrothermal performance of wall panels incorporating wood fibre, mineral wool and hemp-lime, Energy Build, 165, pp. 76-91, (2018); Salonen T., Fischer H., Korjenic A., Chopped Straw as an Insulation Material: The Influence of Different Blow-In Technologies and Flame Retardants on hygrothermal properties, Buildings, 13, (2023); Koh C.H., Gauvin F., Schollbach K., Brouwers H.J.H., Upcycling wheat and barley straws into sustainable thermal insulation: Assessment and treatment for durability, Resour. Conserv. Recycl, 198, (2023); Soto M., Rojas C., Cardenas-Ramirez J.P., Characterization of a Thermal Insulating Material Based on a Wheat Straw and Recycled Paper Cellulose to Be Applied in Buildings by Blowing Method, Sustainability, 15, (2023); Carlos Javier R.H., Karin R.N., Juan Pablo C.R., Valorization of Wheat Crop Waste in Araucanía, Chile: Development of Prototype of Thermal Insulation Material for Blowing Technique and Geographical Analysis, Buildings, 13, (2023); Zach J., Korjenic A., Petranek V., Hroudova J., Bednar T., Performance evaluation and research of alternative thermal insulations based on sheep wool, Energy Build, 49, pp. 246-253, (2012); Vrana T., Gudmundsson K., Comparison of fibrous insulations—Cellulose and stone wool in terms of moisture properties resulting from condensation and ice formation, Constr. Build. Mater, 24, pp. 1151-1157, (2010); Wang L., Ge H., Effect of air leakage on the hygrothermal performance of highly insulated wood frame walls: 511 Comparison of air leakage modelling methods, Build. Environ, 123, pp. 363-377, (2017); Ge H., Straube J., Wang L., Fox M.J., Field study of hygrothermal performance of highly insulated wood-frame walls under simulated air leakage, Build. Environ, 160, (2019); Derome D., Moisture accumulation in cellulose insulation caused by air leakage in flat wood frame roofs, J. Therm. Envel. Build. Sci, 28, pp. 269-287, (2005); Wang L., Ge H., Stochastic modelling of hygrothermal performance of highly insulated wood framed walls, Build. Environ, 146, pp. 12-28, (2018); Mlakar J., Strancar J., Temperature and humidity profiles in passive-house building blocks, Build. Environ, 60, pp. 185-193, (2013); Greenhouse Gases: Carbon Footprint of Products: Requirements and Guidelines for Quantification and Communication, (2012); Pittau F., Lumia G., Heeren N., Iannaccone G., Habert G., Retrofit as a carbon sink: The carbon storage potentials of the EU housing stock, J. Clean. Prod, 214, pp. 365-376, (2019); Goswein V., Reichmann J., Habert G., Pittau F., Land availability in Europe for a radical shift toward bio-based construction, Sustain. Cities Soc, 70, (2021); Parlato M.C.M., Porto S.M.C., Valenti F., Assessment of sheep wool waste as new resource for green building elements, Build. Environ, 225, (2022); Lopez Hurtado P., Rouilly A., Vandenbossche V., Raynaud C., A review on the properties of cellulose fibre insulation, Build. Environ, 96, pp. 170-177, (2016); (2023); OIB Richtlinie 6—Energieeinsparung und Wärmeschutz, (2023); Thermal Insulation—Building Elements—In-Situ Measurement of Thermal Resistance and Thermal Transmittance—Part 1: Heat Flow Meter Method, (2014); O'Hegarty R., Kinnane O., Lennon D., Colclough S., In-situ U-value monitoring of highly insulated building envelopes: Review and experimental investigation, Energy Build, 252, (2021); Park S., Shim J., Song D., A comparative assessment of in-situ measurement methods for thermal resistance of building walls under mild climate conditions, J. Build. Eng, 77, (2023); Zirkelbach D., Tieben J., Tanaka E., Pfabigan N., Andresen N., Bachinger J., Nusser B., ThermNat—Building Components with Insulation from Sustainable Raw Materials: Focus (hygro-)thermal Conditions, (2023); Sedlbauer K., Prediction of Mould Fungus Formation on the Surface of/and Inside Building Components, (2001); Tieben J., Pfabigan N., Bachinger J., Dämmstoffe aus biogenen Rohstoffen auf dem Prüfstand. Neue Erkenntnisse zu Wärmeleitfähigkeit und Dauerhaftigkeit, Holzforsch. Austria Mag, 1, pp. 3-5, (2023); Collet F., Pretot S., Lanos C., Hemp-Straw Composites: Thermal and Hygric Performances, Energy Procedia, 139, pp. 294-300, (2017); Romano A., Bras A., Grammatikos S., Shaw A., Riley M., Dynamic behaviour of bio-based and recycled materials for indoor environmental comfort, Constr. Build. Mater, 211, pp. 730-743, (2019); Holcroft N., Shea A., Moisture Buffering and Latent Heat Effects in Natural Fibre Insulation Materials, pp. 221-228, (2012); Rode C., Peuhkari R.H., Mortensen L.H., Hansen K.K., Time B., Gustavsen A., Ojanen T., Ahonen J., Svennberg K., Arfvidsson J., Et al., Moisture Buffering of Building Materials Department of Civil Engineering, (2005)</t>
  </si>
  <si>
    <t>The impact of the infiltration and airflow pattern of the building envelope and structure on thermal load is significant. Building energy simulation tools take this feature into account when calculating the heating and cooling load and evaluating the indoor hygrothermal environment. However, in many Case Studys, the infiltration and airflow modeling is performed without appropriate assumption and understanding in research and the industrial field of building energy simulations. This is due to not only the lack of understanding or ignorance of their significance but also the complex nature of the infiltration and airflow pattern in buildings. In this study, the history and theoretical background of the infiltration and airflow models, which have been developed for several decades by various researchers with different types of tools, are investigated. The historical evolution of the models and their adoption in different building energy simulation tools are discussed to facilitate the proper use and implementation of infiltration and airflow models. Finally, the guidelines and practical insight for selecting the appropriate infiltration and airflow models in building energy simulation are presented with different scenarios of modeling along with actual examples from previous studies. © 2023</t>
  </si>
  <si>
    <t>Buildings energy data book, (2011); World energy balances, (2021); Shrestha P., DeGraw J.W., Zhang M., Liu X., Multizonal modeling of SARS-CoV-2 aerosol dispersion in a virtual office building, Build Environ, 206, (2021); Cheng P., Chen W., Xiao S., Xue F., Wang Q., Chan P.W., You R., Lin Z., Niu J., Li Y., Probable cross-corridor transmission of SARS-CoV-2 due to cross airflows and its control, Build Environ, 218, March, (2022); Harish V.S.K.V., Kumar A., A review on modeling and simulation of building energy systems, Renew Sustain Energy Rev, 56, pp. 1272-1292, (2016); Younes C., Shdid C.A., Bitsuamlak G., Air infiltration through building envelopes: a review, J Build Phys, 35, 3, pp. 267-302, (2012); Liu X., Liu X., Zhang T., Ooka R., Kikumoto H., Comparison of winter air infiltration and its influences between large-space and normal-space buildings, Build Environ, 184, July, (2020); Emmerich S.J., Persily A.K., McDowell T.P., Impact of infiltration on heating and cooling loads in U.S. Office buildings, Proceedings of the 26th AIVC Conference, (2005); Miszczuk A., Heim D., Parametric study of air infiltration in residential buildings—the effect of local conditions on energy demand, Energies, 14, 1, (2021); Feijo-munoz J., Pardal C., Echarri V., Fernandez-aguera J., Assiego R., Larriva D., Montesdeoca M., Poza-casado I., Padilla-marcos M.A., Meiss A., Energy impact of the air infiltration in residential buildings in the Mediterranean area of Spain and the Canary Islands, Energy Build, 189, pp. 226-238, (2019); Mathur U., Damle R., Impact of air infiltration rate on the thermal transmittance value of building envelope, J Build Eng, 40, February, (2021); Ng L.C., Dols W.S., Emmerich S.J., Evaluating potential benefits of air barriers in commercial buildings using NIST infiltration correlations in EnergyPlus, Build Environ, 196, (2021); Bak J., Yoon S., Dwelling infiltration and heating energy demand in multifamily high-rise and low-energy buildings in Korea, Renew Sustain Energy Rev, 148, (2021); Ng L.C., Ojeda Quiles N., Dols W.S., Emmerich S.J., Weather correlations to calculate infiltration rates for U. S. commercial building energy models, Build Environ, 127, pp. 47-57, (2018); Bae Y., Joe J., Lee S., Im P., Ng L., Evaluation of existing infiltration models used in building energy simulation, Building Simulation 2021 Conference, September 1-2-3, 2021 Bruges, Belgium, (2021); Ng L.C., Persily A.K., Emmerich S.J., Improving infiltration modeling in commercial building energy models, Energy Build, 88, pp. 316-323, (2015); Lozinsky C.H., Touchie M.F., Improving energy model calibration of multi-unit residential buildings through component air infiltration testing, Build Environ, 134, February, pp. 218-229, (2018); Yoon S., Seo J., Cho W., Song D., A calibration method for whole-building airflow simulation in high-rise residential buildings, Build Environ, 85, pp. 253-262, (2015); Bak J., Yoon S., Song D., Lim H., Kim Y.S., Weather-driven infiltration and interzonal airflow in a multifamily high-rise building: dwelling infiltration distribution, Build Environ, 181, March, (2020); Kim J., Yoon S., Koo J., Bak J., Kim Y.S., TDC-based horizontal leakage area estimation in multiunit residential buildings: three correction factors, Build Environ, 192, October 2020, (2021); Poza-Casado I., Cardoso V.E.M., Almeida R.M.S.F., Meiss A., Ramos N.M.M., Padilla-Marcos M.A., Residential buildings airtightness frameworks: a review on the main databases and setups in Europe and North America, Build Environ, 183, (2020); Pasos A.V., Zheng X., Sougkakis V., Gillott M., Meulemans J., Samin O., Alzetto F., Smith L., Wood C.J., Experimental study on the measurement of building infiltration and air, Leakage rates (at 4 and 50 Pa) by means of Tracer Gas methods, Blower Door and the novel Pulse technique in a Detached UK Home. 39th AIVC Conference, (2018); Im P., Joe J., Bae Y., New J.R., Empirical validation of building energy modeling for multi-zones commercial buildings in cooling season, Appl Energy, 261, (2020); Mun J., Lee J., Kim M., Estimation of infiltration rate using blower door test and simulation, Energies, 14, 4, (2021); Sherman M.H., Estimation of infiltration from leakage and climate indicators, Energy Build, 10, 1, pp. 81-86, (1987); Pasos A.V., Zheng X., Gillott M., Wood C.J., Comparison between infiltration rate predictions using the divide-by-20 rule of thumb and real measurements, 40th AIVC Conference, 8th TightVent Conference, 6th Venticool Conference, October, 420–429, (2019); Zheng X., Cooper E., Gillott M., Wood C., A practical review of alternatives to the steady pressurisation method for determining building airtightness, Renew Sustain Energy Rev, 132, July, (2020); Lee D.S., Jeong J.W., Jo J.H., Experimental study on airtightness test methods in large buildings; proposal of averaging pressure difference method, Build Environ, 122, pp. 61-71, (2017); Yoon S., Song D., Kim J., Lim H., Stack-driven infiltration and heating load differences by floor in high-rise residential buildings, Build Environ, 157, February, pp. 366-379, (2019); Song D., Yoon S., Jeong C., Kim J., Lim H., Heat, vapor, and CO&lt;sub&gt;2&lt;/sub&gt; transportation caused by airflow in high-rise residential buildings, Build Environ, 160, (2019); Jo J.H., Lim J.H., Song S.Y., Yeo M.S., Kim K.W., Characteristics of pressure distribution and solution to the problems caused by stack effect in high-rise residential buildings, Build Environ, 42, 1, pp. 263-277, (2007); Lee D., Ji K., Jing J., Jo J., Experimental study on elevator door reopening problems caused by stack induced pressure differences across the elevator door in buildings, Build Environ, 221, June, (2022); Yoon S., Song D., Kim J., Kim J., Lim H., Koo J., Identifying stack-driven indoor environmental problems and associated pressure difference in high-rise residential buildings: airflow noise and draft, Build Environ, 168, (2020); Firrantello J., Bahnfleth W.P., Musser A., Freihaut J.D., Jeong J.W., Use of factorial sensitivity analysis in multizone airflow model tuning, Build Eng, 113, 1, pp. 642-651, (2007); Eguia-Oller P., Martinez-Marino S., Granada-Alvarez E., Febrero-Garrido L., Empirical validation of a multizone building model coupled with an air flow network under complex realistic situations, Energy Build, 249, (2021); Hong G., Kim B.S., Field measurements of infiltration rate in high rise residential buildings using the constant concentration method, Build Environ, 97, pp. 48-54, (2016); Hayati A., Mattsson M., Sandberg M., Evaluation of the LBL and AIM-2 air infiltration models on large single zones: three historical churches, Build Environ, 81, pp. 365-379, (2014); Wang X., Yang Y., Xu Y., Wang F., Zhang Q., Huang C., Shi C., Prediction of vertical thermal stratification of large space buildings based on Block-Gebhart model: Case Study studies of three typical hybrid ventilation scenarios, J Build Eng, 41, (2021); Wang X., Zhou Y., Shi C., Xu Y., Huang C., Wang F., Vertical temperature distribution in large space buildings in the heating season: on-site measurement and Block-Gebhart model prediction considering air infiltration, Build Environ, 191, January, (2021); Liu X., Liu X., Zhang T., Theoretical model of buoyancy-driven air infiltration during heating/cooling seasons in large space buildings, Build Environ, 173, February, (2020); Liu W., Zhao X., Chen Q., A novel method for measuring air infiltration rate in buildings, Energy Build, 168, pp. 309-318, (2018); Han G., Srebric J., Enache-pommer E., Different modeling strategies of infiltration rates for an office building to improve accuracy of building energy simulations, Energy Build, 86, pp. 288-295, (2015); Lu Y., Dong J., Liu J., Zonal modelling for thermal and energy performance of large space buildings: a review, Renew Sustain Energy Rev, 133, 73, (2020); Qi T., Inverse modeling to predict effective leakage area, Master program thesis, Georgia Institute of Technology, (2012); Deru M., Field K., Studer D., Benne K., Griffith B., Torcellini P., Liu B., Halverson M., Winiarski D., Rosenberg M., Yazdanian M., Huang J., Crawley D., U.S. Department of energy commercial reference building models of the national building stock. 1–118, (2011); Du J., Pan W., Cooling-related energy uses and adaptive behaviors in high-rise residential buildings in the subtropical climate: a Case Study study in Hong Kong, Build Environ, 223, April, (2022); Kim D.D., Suh H.S., Heating and cooling energy consumption prediction model for high-rise apartment buildings considering design parameters, Energy for Sustainable Development, 61, pp. 1-14, (2021); Wang X., Liu X., Blue Star: the proposed energy efficient tall building in Chicago and vertical city strategies, Renew Sustain Energy Rev, 47, pp. 241-259, (2015); Orme M., Applicable models for air infiltration and ventilation, AIVC Technical Note, 51, (1999); Liddament M., AIDA-An air infiltration development algorithm, Air Infiltration Review, 11, 1, (1989); Mansson R.G., A quarterly newsletter from the IEA air infiltration and ventilation Centre background of IEA Annex 18, (1990); Walker L.S., Wilson D.J., AIM-2: the Alberta air infiltration model, (1990); Walker L.S., Wilson D.J., Member A., Field validation of algebraic equations for stack and wind driven air infiltration calculations, HVAC R Res, 4, 2, pp. 119-139, (1998); Cripps A., Andrew cripps, Calculation methods for the determination of air flow rates in dwellings. 17th AIVC conference, (1996); Chartered institution of building services engineers, Natural ventilation in non-domestic buildings, (2005); Laboratory L.B., Sherman M.H., Grimsrud D.T., Measurement of infiltration using fan pressurization and weather data, (1980); Svensson C., Aggerholm S., Overcoming technical barriers to low-energy natural ventilation in office type buildings in moderate and cold climates: the NatVent programme 1.0 Fundamentals, (1998); Svensson C., Overcoming technical barriers to low-energy natural ventilation in office type buildings in moderate and cold climates: the NatVent programme 1.0 User's Guide, (1998); Phaff H., Natvent NaVIAQ MANUAL, (1998); Kolokotroni M., Tindale A., Irving S.J., NiteCool: office night ventilation pre-design tool. 18th AIVC conference, (1997); Santamouris M., Balaras C.A., Dascalaki E., Alvarez S., Coronel J.F., Rodriguez E.G., Building thermal simulation using a new tool-PASSPORT Plus, (1997); Liddament M., Allen C., The validation and comparison of mathematical models of air infiltration, (1983); Jackman P.J., Tech B., A study of the natural ventilation of tall office buildings, (1970); Sander D.M., Fortran IV Program to calculate air infiltration in buildings, (1974); Tamami K., The computer program heating and cooling loads in buildings, (1974); de Gids W.F., Calculation method for the natural ventilation of buildings, Vervarming en Ventilatie, 35, 7, pp. 551-564, (1978); Irving S.J., The computer simulation of smoke movement during building fires, (1979); Konarad A., Larsen B.T., ENCORE-Canada: computer program for the study of energy consumption of residential buildings in Canada, (1978); Robert H., Elkins, Timothy Cole J., Mac Sneed D., Zawacki J.W., Macriss R.A., Development and field verification of a model of excess and house air infiltration for single family residences, (1979); Plathner P., Woloszyn M., Interzonal air and moisture transport in a test house: experiment and modelling, Energy Build, 37, 2, pp. 189-199, (2002); Warren P.R., Webb B.C., Bre D., The relationship between tracer gas and pressurization techniques in dwellings, (1980); Liddament M.W., IEA. energy conservation in buildings and community systems programme Air Infiltration Calculation Techniques an Applications Guide, (1986); Hayati A., Natural ventilation and air infiltration in large single zone buildings measurements and modelling with reference to historical churches, Doctoral dissertation, Gävle University Press, (2017); Persily A., Ng L., Dols W.S., Emmerich S., Techniques to estimate commercial building infiltration rates. 40th AIVC conference, (2019); Lozinsky C., Improving the characterization of infiltration and natural ventilation parameters in whole-building energy models of multi-unit residential buildings, (2017); Achenbach P.R., Coblenz C.W., Field measurement of ten electrically heated houses, Build Eng, 69, pp. 358-365, (1963); EnergyPlus engineering reference, (2022); Sherman M.H., Grimsrud D.T., Infiltration-pressurization correlation: simplified physical modeling LBL-10163, (1980); ASHRAE fundamental, (2001); ASHRAE fundamental, (1989); ASHRAE fundamental, (1997); 12; 4; (1982); (2014); Im P., Bae Y., Lee S., New J., Empirical validation of multi-zone HVAC system model: evaluation of existing infiltration models used in building energy simulation, (2020); Walton G.N., Airnet - a computer program for building airflow network modelling, Nistir, 89–4072 April, (1989); Feustel H.E., Rayner H.A., COMIS-fundamentals, (1990); Feustel H.E., Dieris J., A survey of air flow models for multizone structures, Energy Build, 18, 2, pp. 79-100, (1992); Walton G.N., CONTAM93: user manual, (1994); Gu L., Airflow network modeling in EnergyPlus, Proceedings of Building Simulation 2007, 10, (2007); Cooper L.Y., Calculation of the flow through a horizontal ceiling/floor vent, (1989); Blomqvist C., Sandberg M., Air movements through horizontal openings in buildings - a model study, Int J Vent, 3, 1, pp. 1-9, (2004); Alonso M.J., Dols W.S., Mathisen H.M., Using co-simulation between EnergyPlus and CONTAM to develop IAQ and energy-centric demand-controlled ventilation systems, 40th AIVC - 8th TightVent - 6th Venticool Conference - ghent, (2019); Alonso M.J., Dols W.S., Mathisen H.M., Using Co-simulation between EnergyPlus and CONTAM to evaluate recirculation-based, demand-controlled ventilation strategies in an office building, Build Environ, 211, (2022); Dols W.S., Emmerich S.J., Polidoro B.J., Coupling the multizone airflow and contaminant transport software CONTAM with EnergyPlus using co-simulation, Build Simulat, 9, 4, pp. 469-479, (2016); Khalifa I., Ernez L.G., Znouda E., Bouden C., Coupling TRNSYS 17 and CONTAM: simulation of a naturally ventilated double-skin façade, Adv Build Energy Res, 9, 2, pp. 293-304, (2015); Dols W.S., Polidoro B.J., CONTAM user Guide and program documentation version 3.4, NIST technical note, (1887); Dols W.S., Wang L., Emmerich S.J., Polidoro B.J., Development and application of an updated whole-building coupled thermal, airflow and contaminant transport simulation program (TRNSYS/CONTAM), Journal of Building Performance Simulation, 8, 5, pp. 326-337, (2015); Hiller M., Holst S., Welfonder T., Weber A., Koschenz M.; Weber A., Koschenz M., Holst S., Hiller M., Welfonder T., TRNFLOW: integration of COMIS into TRNSYS type 56, Proceedings of the 3rd European Conference on Energy Performance and Indoor Climate, EPIC 2002, pp. 801-806, (2002); Hensen J.L.M., Hamelinck M.J.H., Loomans M.G.L.C., Modelling approaches for displacement ventilation in offices, 96, (1996); Djunaedy E., Hensen J.L.M., Loomans M.G.L.C., Development of a guideline for selecting a simulation tool for airflow prediction, Proceedings of the 8th International IBPSA Conference, Eindhove, Netherlands, (2003); Djunaedy E., Hensen J.L.M., Loomans M.G.L.C., Towards external coupling of building energy and airflow modeling programs, (2003); Choi W., Joe J., Kwak Y., Huh J., Operation and control strategies for multi-storey double skin facades during the heating season, Energy Build, 49, pp. 454-465, (2012); Mathur U., Damle R., Impact of air infiltration rate on the thermal transmittance value of building envelope, J Build Eng, 40, (2021); Brambilla A., Sangiorgio A., Durability issues, health implications and strategies to mitigate the ricks, Moisture and buildings, (2021); Mun H.J., Augenbroe G., A mixed simulation approach to analyze mold growth under uncertainty, Building Simulation 2005 Conference, August 15-18, 2005 Montreal, (2005); Kosonen R., Jokisalo J., Ranta-aho I., Koikkalainen E.-P.; TRNFLOW manual, (2009); Dorer V., Haas A., Keilholz W., Pelletret R., Weber A., COMIS V3.1 simulation environment for multizone air flow and pollutant transport modeling, Building Simulation 2001 Conference, August 13-15, 2001, (2001)</t>
  </si>
  <si>
    <t>Refurbishment and Parametricism Case Study Study: “Sokel” (Stone Plinth)</t>
  </si>
  <si>
    <t>The paper is devoted to research on the connection between restoration and parametricism, focusing on the design of plinth restoration. Presented is the introductory part of the Case Study study “Sokel” - Test - which deals with the verification of the established hypothesis, whether it is possible to improve the hygrothermal behaviour of the historical building's wet facade wall by means of air flow in existing or proposed ventilated gaps and by morphological by changes of the visually unexposed part of the structure. Using a combination of two-dimensional CFD and HAM simulation, the hygrothermal behaviour of the façade wall with different air flows in ventilated gap is described. The introduction presents the issue, and the proposed methodology is described. Next, the individual steps of the Case Study study building refurbishment design methodology procedure are explained in detail. At the end, the partial results of the research task are presented, and a discussion and a summary of the findings are presented. © The Author(s), under exclusive license to Springer Nature Switzerland AG 2024.</t>
  </si>
  <si>
    <t>Architectural design; Facades; Reconstruction (structural); Walls (structural partitions); Air flow; Case Study-studies; HAM; Historical buildings; Hygrothermal behavior; Morphology optimization; Optimisations; Parametricism; Plinth; Refurbishment; Restoration</t>
  </si>
  <si>
    <t>Li Y.L., Han M.Y., Liu S.Y., Chen G.Q., Energy consumption and greenhouse gas emissions by buildings: a multi-scale perspective, Build. Environ., 151, pp. 240-250, (2019); Andaloro A., Gasparri E., Avesani S., Aitchison M., Market survey of timber prefabricated envelopes for new and existing buildings, PowerSkin Conference 2019, pp. 1-9, (2019); Munoz P., Gonzalez C., Recio R., Gencel O., The role of specific heat capacity on building energy performance and thermal discomfort, Case Study Stud. Constr. Mater., 17, (2022); Natephra W., Motamedi A., Yabuki N., Fukuda T., Integrating 4D thermal information with BIM for building envelope thermal performance analysis and thermal comfort evaluation in naturally ventilated environments, Build. Environ., 124, pp. 194-208, (2017); Yang B., Wu M., Li Z., Yao H., Wang F., Thermal comfort and energy savings of personal comfort systems in low temperature office: a field study, Energy Build., 270, (2022); Poza-Casado I., Cardoso V.E.M., Almeida R.M.S.F., Meiss A., Ramos N.M.M., Padilla-Marcos M.A., Residential buildings airtightness frameworks: a review on the main databases and setups in Europe and North America, Build. Environ., 183, (2020); Lindblad F., Lehman K., Aggerstam E., A comparative study of the environmental impact from transportation of prefabricated building elements using wood or concrete, Int. J. Eng. Technol., 11, pp. 154-161, (2019); Navaratnam S., Ngo T., Gunawardena T., Henderson D., Performance review of prefabricated building systems and future research in Australia, Buildings, 9, pp. 1-14, (2019); Chang Y., Li X., Masanet E., Zhang L., Huang Z., Ries R., Unlocking the green opportunity for prefabricated buildings and construction in China, Resour. Conserv. Recycl., 139, pp. 259-261, (2018); Boafo F.E., Kim J.H., Kim J.T., Performance of modular prefabricated architecture: Case Study study-based review and future pathways, Sustainability, 8, pp. 1-16, (2016); Hong J., Shen G.Q., Li Z., Zhang B., Zhang W., Barriers to promoting prefabricated construction in China: a cost–benefit analysis, J. Clean. Prod., 172, pp. 649-660, (2017); Correia Lopes G., Vicente R., Azenha M., Ferreira T.M., A systematic review of Prefabricated Enclosure Wall Panel Systems: focus on technology driven for performance requirements, Sustain. Cities Soc., 40, pp. 688-703, (2017); Gasparri E., Aitchison M., Unitised timber envelopes. A novel approach to the design of prefabricated mass timber envelopes for multi-storey buildings, J. Build. Eng., 26, (2019); Gustafsson A., Eliasson L., Product quality deficiencies in the prefabrication industry for single-family houses, Wood Mater. Sci. Eng., 9, pp. 1-11, (2014); Kyjakova L., Mandicak T., Mesaros P., Modern Methods of Constructions and Their Components, (2014); Conjuguer nos forces pour un avenir énergétique durable, (2022); Programme Novoclimat – volet « maison, (2020); Cid A., Étude de Marché: Market Study Report, pp. 1-52, (2020); Guy-Plourde S., Blanchet P., Caractérisation de l'industrie de la construction préfabriquée en bois au Québec, (2022); Lawson R.M., Ogden R.G., Bergin R., Application of modular construction in high-rise buildings, J. Architect. Eng., 18, pp. 148-154, (2012); Arashpour M., Wakefield R., Abbasi B., Lee E.W.M., Minas J., Off-site construction optimization: sequencing multiple job classes with time constraints, Autom Constr, 71, pp. 262-270, (2016); Zhang W., Lee M.W., Jaillon L., Poon C.S., The hindrance to using prefabrication in Hong Kong's building industry, J. Clean. Prod., 204, pp. 70-81, (2018); Piggot-Navarrete J., Blanchet P., Cabral M.R., Perez C., Investigating the impact of construction workmanship defects on the hygrothermal performance and airtightness of lightweight-structure wooden envelope systems, Build. Environ., 243, pp. 1-14, (2023); Zalewski L., Lassue S., Rousse D., Boukhalfa K., Experimental and numerical characterization of thermal bridges in prefabricated building walls, Energy Convers. Manag., 51, pp. 2869-2877, (2010); Bruno R., Bevilacqua P., Cuconati T., Arcuri N., Energy evaluations of an innovative multi-storey wooden near Zero Energy Building designed for Mediterranean areas, Appl. Energy, 238, pp. 929-941, (2019); Troppova E., Kleparnik J., Tippner J., Thermal bridges in a prefabricated wooden house: comparison between evaluation methods, Wood Mater. Sci. Eng., 11, pp. 305-311, (2016); Kayello A., Ge H., Athienitis A., Rao J., Experimental study of thermal and airtightness performance of structural insulated panel joints in cold climates, Build. Environ., 115, pp. 345-357, (2017); Koh C.H., Gauvin F., Schollbach K., Brouwers H.J.H., Investigation of material characteristics and hygrothermal performances of different bio-based insulation composites, Construct. Build. Mater., 346, (2022); Bakkour A., Ouldboukhitine S.-E., Biwole P., Amziane S., A review of multi-scale hygrothermal characteristics of plant-based building materials, Construct. Build. Mater., 412, (2024); Zampori L., Dotelli G., Vernelli V., Life cycle assessment of hemp cultivation and use of hemp-based thermal insulator materials in buildings, Environ. Sci. Technol., 47, pp. 7413-7420, (2013); Latif E., Tucker S., Ciupala M.A., Wijeyesekera D.C., Newport D., Hygric properties of hemp bio-insulations with differing compositions, Construct. Build. Mater., 66, pp. 702-711, (2014); Latif E., Ciupala M.A., Tucker S., Wijeyesekera D.C., Newport D.J., Hygrothermal performance of wood-hemp insulation in timber frame wall panels with and without a vapour barrier, Build. Environ., 92, pp. 122-134, (2015); Julien E., Blanchet P., Gosselin L., Case Study-study: fully prefabricated wood wall connection to improve building envelope and on-site efficiency, Buildings, 12, (2022); Caron-Rousseau A., Blanchet P., Gosselin L., Parametric study of lightweight wooden wall assemblies for cold and subarctic climates using external insulation, Buildings, 12, (2022); Hygrothermal Performance of Building Components and Building Elements - Internal Surface Temperature to Avoid Critical Surface Humidity and Interstitial Condensation - Calculation Methods, (2012); Chae Y., Kim S.H., Interstitial hygrothermal analysis for retrofitting exterior concrete wall of modern heritage building in Korea, Case Study Stud. Constr. Mater., 16, (2022); Pearson C., Thermal Imaging of Building Fabric, (2011); Kalamees T., Alev U., Parnalaas M., Air leakage levels in timber frame building envelope joints, Build. Environ., 116, pp. 121-129, (2017); Thermal Performance of Buildings - Qualitative Detection of Thermal Irregularities in Building Envelopes - Infrared Method (ISO 6781:1983 Modified), (2000); Taylor T., Counsell J., Gill S., Combining thermography and computer simulation to identify and assess insulation defects in the construction of building façades, Energy Build., 76, pp. 130-142, (2014); Taylor T., Counsell J., Gill S., Energy efficiency is more than skin deep: improving construction quality control in new-build housing using thermography, Energy Build., 66, pp. 222-231, (2013); Housing B.C., Guide I., Achieving Airtight Buildings, (2017); E2357-18: Standard Test Method for Determining Air Leakage Rate of Air Barrier Assemblies, (2018); Aggarwal C., Ge H., Defo M., Lacasse M.A., Hygrothermal performance assessment of wood frame walls under historical and future climates using partial least squares regression, Build. Environ., 223, (2022); Latif E., Ciupala M.A., Wijeyesekera D.C., The comparative in situ hygrothermal performance of Hemp and Stone Wool insulations in vapour open timber frame wall panels, Construct. Build. Mater., 73, pp. 205-213, (2014); Carmeliet J., Derome D., Temperature driven inward vapor diffusion under constant and cyclic loading in small-scale wall assemblies: Part 1 experimental investigation, Build. Environ., 48, pp. 48-56, (2011); Ge H., Straube J., Wang L., Fox M.J., Field study of hygrothermal performance of highly insulated wood-frame walls under simulated air leakage, Build. Environ., 160, (2019); Hurel N., Pailha M., Garnier G., Woloszyn M., Impact of different construction details on air permeability of timber frame wall assemblies: some experimental evidences from a three-scale laboratory study, J. Build. Phys., 41, pp. 162-189, (2017); Kalamees T., Air tightness and air leakages of new lightweight single-family detached houses in Estonia, Build. Environ., 42, pp. 2369-2377, (2007); Zheng X., Cooper E., Gillott M., Wood C., A practical review of alternatives to the steady pressurisation method for determining building airtightness, Renew. Sustain. Energy Rev., 132, (2020)</t>
  </si>
  <si>
    <t>Li Y.L., Han M.Y., Liu S.Y., Chen G.Q., Energy consumption and greenhouse gas emissions by buildings: a multi-scale perspective, Build. Environ., 151, pp. 240-250, (2019); Perez-Lombard L., Ortiz J., Pout C., A review on buildings energy consumption information, Energy Build., 40, 3, pp. 394-398, (2008); Jones B., Et al., Assessing uncertainty in housing stock infiltration rates and associated heat loss: English and UK Case Study studies, Build. Environ., 92, pp. 644-656, (2015); Logue J.M., Sherman M.H., Walker I.S., Singer B.C., Energy impacts of envelope tightening and mechanical ventilation for the U.S. residential sector, Energy Build., 65, pp. 281-291, (2013); Hurel N., Leprince V., VIP 46: building airtightness impact on Energy Performance (EP) calculations, (2023); Banister C., Bartko M., Berquist J., Macdonald I., Vuotari M., Wills A., Energy and emissions effects of airtightness for six non-residential buildings in Canada with comparison to contemporary limits and assumptions, J. Build. Eng., 58, (2022); Guillen-Lambea S., Rodriguez-Soria B., Marin J.M., Air infiltrations and energy demand for residential low energy buildings in warm climates, Renew. Sustain. Energy Rev., 116, (2019); Domhagen F., Wahlgren P., Consequences of varying airtightness in wooden buildings, Energy Proc., 132, pp. 873-878, (2017); Piggot-Navarrete J., Blanchet P., Cabral M.R., Perez C., Investigating the impact of construction workmanship defects on the hygrothermal performance and airtightness of lightweight-structure wooden envelope systems, Build. Environ., 243, (2023); Wilson A.G., Garden G.K., Moisture accumulation in walls due to air leakage, Presented at the Rilem/CIB Symposium Moisture Problems in Buildings, (1965); Ge H., Straube J., Wang L., Fox M.J., Field study of hygrothermal performance of highly insulated wood-frame walls under simulated air leakage, Build. Environ., 160, (2019); Kempton L., Daly D., Kokogiannakis G., Dewsbury M., A rapid review of the impact of increasing airtightness on indoor air quality, J. Build. Eng., 57, (2022); Zahed F., Pardakhti A., Motlagh M.S., Mohammad Kari B., Tavakoli A., The effect of airtightness required in building energy conservation regulations on indoor and outdoor originated pollutants, Heliyon, 9, 10, (2023); Fernandez-Aguera J., Dominguez-Amarillo S., Alonso C., Martin-Consuegra F., Thermal comfort and indoor air quality in low-income housing in Spain: the influence of airtightness and occupant behaviour, Energy Build., 199, pp. 102-114, (2019); Cheng X., Et al., Field study of infiltration rate and its influence on indoor air quality in an apartment, Procedia Eng., 205, pp. 3954-3961, (2017); VIP 45.X: Trends in Building and Ductwork Airtightness, (2023); Ji Y., Duanmu L., Airtightness field tests of residential buildings in Dalian, China, Build. Environ., 119, pp. 20-30, (2017); Bohm M., Et al., Factors influencing envelope airtightness of lightweight timber-frame houses built in the Czech Republic in the period of 2006–2019, Build. Environ., 194, (2021); Moujalled B., Leprince V., Berthault S., Litvak A., Hurel N., Mid-term and long-term changes in building airtightness: a field study on low-energy houses, Energy Build., 250, (2021); Hurel N., Pailha M., Garnier G., Woloszyn M., Impact of different construction details on air permeability of timber frame wall assemblies: some experimental evidences from a three-scale laboratory study, J. Build. Phys., (2016); Langmans J., Klein R., De Paepe M., Roels S., Potential of wind barriers to assure airtightness of wood-frame low energy constructions, Energy Build., 42, 12, pp. 2376-2385, (2010); Relander T.-O., Heiskel B., Tyssedal J.S., The influence of the joint between the basement wall and the wood-frame wall on the airtightness of wood-frame houses, Energy Build., 43, 6, pp. 1304-1314, (2011); Prignon M., Altomonte S., Ossio F., Dawans A., Van Moeseke G., On the applicability of meta-analysis to evaluate airtightness performance of building components, Build. Environ., 194, (2021); Kirimtat A., Krejcar O., A review of infrared thermography for the investigation of building envelopes: advances and prospects, Energy Build., 176, pp. 390-406, (2018); Lucchi E., Applications of the infrared thermography in the energy audit of buildings: a review, Renew. Sustain. Energy Rev., 82, pp. 3077-3090, (2018); Taylor T., Counsell J., Gill S., Energy efficiency is more than skin deep: improving construction quality control in new-build housing using thermography, Energy Build., 66, pp. 222-231, (2013); Langmans J., Feasibility of Exterior Air Barriers in Timber Frame Construction, (2013); Liddament M.W., A Guide to Energy Efficient Ventilation, (1996); Belleudy C., Woloszyn M., Chhay M., Cosnier M., A 2D model for coupled heat, air, and moisture transfer through porous media in contact with air channels, Int. J. Heat Mass Tran., 95, pp. 453-465, (2016); Yu S., Wei J., Zhou X., Study on HAM coupling migration of complex air-tightness defect structure caused by air leakage, Energy Built Environ, 4, 2, pp. 244-257, (2023); Li Q., Rao J., Fazio P., Development of HAM tool for building envelope analysis, Build. Environ., 44, 5, pp. 1065-1073, (2009); Liu D.-L., Nazaroff W.W., Modeling pollutant penetration across building envelopes, Atmos. Environ., 35, 26, pp. 4451-4462, (2001); Ojanen T., Simonson C., Convective moisture accumulation in structures with additional inside insulation, Proceedings of Thermal Performance of the Exterior Envelopes of Buildings VI, pp. 745-752, (1995); Desmarais G., “Impact of Added Insulation on the Hygrothermal Performance of Leaky Exterior Wall Assemblies,” Masters, (2000); Hurel N., Freschi M., Pailha M., Woloszyn M., Innovative use of fluorescein for the air path study within light-weight wall assemblies, Exp. Therm. Fluid Sci., 92, pp. 69-88, (2018); Hurel N., Impact of air infiltration on buildings' performance: focus on the experimental study within timber-frame walls, Université Grenoble Alpes, LOCIE, (2016); Miecret G., Gustavsson J., Mathematic expression of HEPA and ULPA filters efficiency experimental verification - practical alliance to new efficiency test methods, Presented at the Contaminexpert, Versailles, France, (1989); Hall R., Murdoch L., Falta R., Looney B., Riha B., Evaluation of liquid aerosol transport through porous media, J. Contam. Hydrol., 190, pp. 15-28, (2016); Einstein A., Über die von der molekularkinetischen Theorie der Wärme geforderte Bewegung von in ruhenden Flüssigkeiten suspendierten Teilchen, Ann. Phys., 322, pp. 549-560, (1905); Desmarais G., Derome D., Fazio P., Mapping of air leakage in exterior wall assemblies, J. Build. Phys., 24, 2, pp. 132-154, (2000); Trabelsi A., Et al., Analyse de la réponse des capteurs, (2013); Tetens O., Über einige meteorologische Begriffe, Z. Geophys., 6, pp. 297-309, (1930)</t>
  </si>
  <si>
    <t>Basements are integral to contemporary building design, serving as foundational structures with diverse functions in residential and commercial constructions. The utilization of wood as a natural, economical, and CO2 storage material for basement construction significantly influences the future of construction, necessitating established concepts to guarantee sustainability, and foremost, avoid possible damages induced by moisture intrusion. This paper explores the hygrothermal performance of a wooden basement when subjected to severe indoor and outdoor climates and in the absence of pressuring groundwater. Using both 1D and 2D numerical simulations, this study conducts risk analyses for several Case Studys to evaluate how the wooden basement behaves under critical conditions, such as moisture accumulation in the assembly due to air convection through a gap in the insulation layer, air leakage through the waterproofing membrane, and high-vapor pressure caused by the high moisture load in the indoor space. The thresholds are determined for the initial wood moisture and indoor relative humidity, under which supports are given for the use of wooden elements in the basement structures, exhibiting satisfactory performance and avoiding wood decay in the construction. Additionally, the impact of the waterproofing membrane on avoiding wood decay in the assembly is highlighted. © 2024 by the authors.</t>
  </si>
  <si>
    <t>Hurel N., Leprince V., VIP 46: building airtightness impact on Energy Performance (EP) calculations, (2023); Banister C., Bartko M., Berquist J., Macdonald I., Vuotari M., Wills A., Energy and emissions effects of airtightness for six non-residential buildings in Canada with comparison to contemporary limits and assumptions, J. Build. Eng., 58, (2022); Guillen-Lambea S., Rodriguez-Soria B., Marin J.M., Air infiltrations and energy demand for residential low energy buildings in warm climates, Renew. Sustain. Energy Rev., 116, (2019); Kalamees T., Air tightness and air leakages of new lightweight single-family detached houses in Estonia, Build. Environ., 42, 6, pp. 2369-2377, (2007); Jones B., Et al., Assessing uncertainty in housing stock infiltration rates and associated heat loss: English and UK Case Study studies, Build. Environ., 92, pp. 644-656, (2015); Jokisalo J., Kurnitski J., Korpi M., Kalamees T., Vinha J., Building leakage, infiltration, and energy performance analyses for Finnish detached houses, Build. Environ., 44, 2, pp. 377-387, (2009); Hu J., Liu Z., Ma G., Zhang G., Ai Z., Air infiltration and related building energy consumption: a Case Study study of office buildings in Changsha, China, J. Build. Eng., 74, (2023); Kempton L., Daly D., Kokogiannakis G., Dewsbury M., A rapid review of the impact of increasing airtightness on indoor air quality, J. Build. Eng., 57, (2022); Carrie R., Jobert R., Fournier M., Berthault S., Van Elslande H., Perméabilité à l'air de l'enveloppe des bâtiments- généralités et sensibilisation, CETE de Lyon, (2006); Airaksinen M., Pasanen P., Kurnitski J., Seppanen O., Microbial contamination of indoor air due to leakages from crawl space: a field study, Indoor Air, 14, 1, pp. 55-64, (2004); Domhagen F., Wahlgren P., Consequences of varying airtightness in wooden buildings, Energy Proc., 132, pp. 873-878, (2017); Piggot-Navarrete J., Blanchet P., Cabral M.R., Perez C., Investigating the impact of construction workmanship defects on the hygrothermal performance and airtightness of lightweight-structure wooden envelope systems, Build. Environ., 243, (2023); Ge H., Straube J., Wang L., Fox M.J., Field study of hygrothermal performance of highly insulated wood-frame walls under simulated air leakage, Build. Environ., 160, (2019); Sandberg P.I., Sikander E., Airtightness issues in the building process, Proceedings to the 7th Symposium on Building Physics in the Nordic Countries, (2005); Iordache V., Catalina T., Acoustic approach for building air permeability estimation, Build. Environ., 57, pp. 18-27, (2012); Flamant G., Bustamante W., Janssens A., Laverge J., Impact of the building airtightness and natural driving forces on the operation of an exhaust ventilation system in social housing in Chile, Ventilation, IEQ and Health in Sustainable Buildings - Proceedings Of 43rd AIVC Conference, 11th TightVent Conference, 9th Venticool Conference, INIVE, pp. 585-593, (2023); VIP 45.X: Trends in Building and Ductwork Airtightness, (2023); Ji Y., Duanmu L., Airtightness field tests of residential buildings in Dalian, China, Build. Environ., 119, pp. 20-30, (2017); Bohm M., Et al., Factors influencing envelope airtightness of lightweight timber-frame houses built in the Czech Republic in the period of 2006–2019, Build. Environ., 194, (2021); Moujalled B., Leprince V., Berthault S., Litvak A., Hurel N., Mid-term and long-term changes in building airtightness: a field study on low-energy houses, Energy Build., 250, (2021); Ayres de Mello L., Moura L.M., Mendes N., A model for predicting heat, air and moisture transfer through fibrous materials, Int. J. Therm. Sci., 145, (2019); Tariku F., Kumaran K., Fazio P., Transient model for coupled heat, air and moisture transfer through multilayered porous media, Int. J. Heat Mass Tran., 53, 15-16, pp. 3035-3044, (2010); Haupl P., Grunewald J., Fechner H., Stopp H., Coupled heat air and moisture transfer in building structures, Int. J. Heat Mass Tran., 40, 7, pp. 1633-1642, (1997); Belleudy C., Et al., Démarche pour l’étude de l'impact des transferts d'air liés aux défauts d’étanchéité sur le comportement de l'enveloppe des bâtiments à ossature bois, presented at the IBPSA France, Arras, France, (2014); Liu D.-L., Nazaroff W.W., Modeling pollutant penetration across building envelopes, Atmos. Environ., 35, 26, pp. 4451-4462, (2001); Maldague X., Applications of Infrared Thermography in Nondestructive Evaluation, (2000); Tardy F., A review of the use of infrared thermography in building envelope thermal property characterization studies, J. Build. Eng., 75, (2023); Kylili A., Fokaides P.A., Christou P., Kalogirou S.A., Infrared thermography (IRT) applications for building diagnostics: a review, Appl. Energy, 134, pp. 531-549, (2014); Balaras C.A., Argiriou A.A., Infrared thermography for building diagnostics, Energy Build., 34, 2, pp. 171-183, (2002); Lerma C., Barreira E., Almeida R.M.S.F., A discussion concerning active infrared thermography in the evaluation of buildings air infiltration, Energy Build., 168, pp. 56-66, (2018); Mahmoodzadeh M., Gretka V., Wong S., Froese T., Mukhopadhyaya P., Evaluating patterns of building envelope air leakage with infrared thermography, Energies, 13, 14, (2020); Kolsch B., Pernpeintner J., Schiricke B., Lupfert E., Air leakage detection in building façades by combining lock-in thermography with blower excitation, Int. J. Vent., 22, 4, pp. 357-365, (2023); Cao G., Sivukari M., Kurnitski J., Ruponen M., Seppanen O., Particle Image Velocimetry (PIV) application in the measurement of indoor air distribution by an active chilled beam, Build. Environ., 45, 9, pp. 1932-1940, (2010); Mortensen L.H., Rode C., Peuhkuri R., Investigation of airflow patterns in a microclimate by particle image velocimetry (PIV), Build. Environ., 43, 11, pp. 1929-1938, (2008); Karava P., Stathopoulos T., Athienitis A.K., Airflow assessment in cross-ventilated buildings with operable façade elements, Build. Environ., 46, 1, pp. 266-279, (2011); Lu Y., Et al., Evaluation of stack ventilation in a large space using zonal simulation and a reduced-scale model experiment with particle image velocimetry, J. Build. Eng., 34, (2021); Goubran S., Qi D., Saleh W.F., Leon L., Wang, Zmeureanu R., Experimental study on the flow characteristics of air curtains at building entrances, Build. Environ., 105, pp. 225-235, (2016); Sanjuan C., Sanchez M.N., Enriquez R., Celemin M.D.R.H., Experimental PIV techniques applied to the analysis of natural convection in open joint ventilated facades, Energy Proc., 30, pp. 1216-1225, (2012); Hurel N., Impact of air infiltration on buildings' performance: focus on the experimental study within timber-frame walls, Université Grenoble Alpes, LOCIE, (2016); Kirimtat A., Krejcar O., A review of infrared thermography for the investigation of building envelopes: advances and prospects, Energy Build., 176, pp. 390-406, (2018); Lucchi E., Applications of the infrared thermography in the energy audit of buildings: a review, Renew. Sustain. Energy Rev., 82, pp. 3077-3090, (2018); Willert C.E., Gharib M., Three-dimensional particle imaging with a single camera, Exp. Fluid, 12, 6, pp. 353-358, (1992); Omrane A., Petersson P., Alden M., Linne M.A., Simultaneous 2D flow velocity and gas temperature measurements using thermographic phosphors, Appl. Phys. B, 92, 1, pp. 99-102, (2008); Melling A., Tracer particles and seeding for particle image velocimetry, Meas. Sci. Technol., 8, 12, (1997)</t>
  </si>
  <si>
    <t>(2022); (2023); Chang S.J., Wi S., Kim S., Thermal bridging analysis of connections in cross-laminated timber buildings based on ISO 10211, Construct. Build. Mater., 213, pp. 709-722, (2019); May N., Breathability: the Key to Building Performance, pp. 1-30, (2005); APCHQ, L'abc de l'enveloppe des bâtiments dans le secteur résidentiel, (2017); 2017 ASHRAE Handbook-Fundamentals, (2017); Doyon N., Et al., Neuf cas d'intégration de systèmes de construction préfabriqués, (2019); Janssens A., Hens H., Interstitial condensation due to air leakage: a sensitivity analysis, J. Therm. Envelope Build. Sci., 27, 1, pp. 15-29, (2003); Bastien D., Winther-Gaasvig M., Influence of driving rain and vapour diffusion on the hygrothermal performance of a hygroscopic and permeable building envelope, Energy, 164, pp. 288-297, (2018); Delgadillo Buenrostro L., Gosselin L., Blanchet P., Numerical investigation of mold growth risk in vapor-permeable building envelopes with bio-based insulation in cold climates, Bio-Based Building Materials, RILEM Bookseries, 45, pp. 690-704, (2023); Afshari A., Et al., WHO Guidelines for Indoor Air Quality: Dampness and Mould, (2009); Prignon M., Van Moeseke G., Factors influencing airtightness and airtightness predictive models: a literature review, Energy Build., 146, pp. 87-97, (2017); Kalamees T., Alev U., Parnalaas M., Air leakage levels in timber frame building envelope joints, Build. Environ., 116, pp. 121-129, (2017); Gullbrekken L., Gradeci K., Norvik O., Ruther P., Geving S., Durability of traditional clamped joints in the vapour barrier layer: experimental and numerical analysis, Can. J. Civ. Eng., 46, 11, pp. 996-1000, (2019); Boudreaux P.R., New J.R., Shrestha S.S., Adams M.B., Pallin S.B., State-of-the-art for hygrothermal simulation tools, (2017); Traore I., Lacroix D., Trovalet L., Jeandel G., Heat and moisture transport in wooden multi-composite panels. Dynamic study of the air layer impact on the building envelope energetic behavior, Int. J. Therm. Sci., (2011); Laaroussi N., Lauriat G., Conjugate thermosolutal convection and condensation of humid air in cavities, Int. J. Therm. Sci., 47, 12, pp. 1571-1586, (2008); Belleudy C., Woloszyn M., Chhay M., Cosnier M., A 2D model for coupled heat, air, and moisture transfer through porous media in contact with air channels, Int. J. Heat Mass Tran., 95, pp. 453-465, (2016); Tariku F., Kumaran K., Fazio P., Transient model for coupled heat, air and moisture transfer through multilayered porous media, Int. J. Heat Mass Tran., 53, 15-16, pp. 3035-3044, (2010); Tariku F., Kumaran K., Fazio P., Integrated analysis of whole building heat, air and moisture transfer, Int. J. Heat Mass Tran., 53, 15-16, pp. 3111-3120, (2010); dos Santos G.H., Mendes N., Heat, air and moisture transfer through hollow porous blocks, Int. J. Heat Mass Tran., 52, 9-10, pp. 2390-2398, (2009); Langmans J., Nicolai A., Klein R., Roels S., A quasi-steady state implementation of air convection in a transient heat and moisture building component model, Build. Environ., 58, pp. 208-218, (2012); Woloszyn M., Rode C., Tools for performance simulation of heat, air and moisture conditions of whole buildings, Build. Simulat., 1, 1, pp. 5-24, (2008); Delgado J.M.P.Q., Barreira E., Ramos N.M.M., De Freitas V.P., Hygrothermal numerical simulation tools applied to building physics, SpringerBriefs in Applied Sciences and Technology, (2013); Ayres de Mello L., Moura L.M., Mendes N., A model for predicting heat, air and moisture transfer through fibrous materials, Int. J. Therm. Sci., 145, (2019); Kunzel H.M., Zirkelbach D., Schafaczek B., Modelling the effect of air leakage in hygrothermal envelope simulation, Proceedings of the Building Enclosure Science &amp; Technology (BEST3) Conference, (2012); Karagiozis A.N., Kunzel H.M., The effect of air cavity convection on the wetting and drying behavior of wood-frame walls using a multi-physics approach, J. ASTM Int. (JAI), 6, 10, (2009); Charest P.-Y., Tremblay F., Exterior Wall Panel and Exterior Wall Panel Assembly, (2022); Canadian Commission on Building and Fire Codes, National Energy Code of Canada for Buildings: 2020, (2022); Julien E., Blanchet P., Gosselin L., Case Study-study: fully prefabricated wood wall connection to improve building envelope and on-site efficiency, Buildings, 12, 2185, (2022); Lu X., Memari A.M., Comparative study of Hot Box Test Method using laboratory evaluation of thermal properties of a given building envelope system type, Energy Build., 178, pp. 130-139, (2018); Slimani Z., Trabelsi A., Virgone J., Zanetti Freire R., Study of the hygrothermal behavior of wood fiber insulation subjected to non-isothermal loading, Appl. Sci., 9, 11, (2019); Kalamees T., Air tightness and air leakages of new lightweight single-family detached houses in Estonia, Build. Environ., 42, 6, pp. 2369-2377, (2007); Li S., Irwin P., Kilpatrick J., Gibbons M., Sifton V., A review of historical extreme wind speeds in a changing climate at some major Canadian cities, CSCE Annual Conference and Annual General Meeting, (2017); Ilinca A., McCarthy E., Chaumel J.-L., Retiveau J.-L., Wind potential assessment of Quebec province, Renew. Energy, 28, 12, pp. 1881-1897, (2003); Holmes J.D., Wind pressures on tropical housing, J. Wind Eng. Ind. Aerod., 53, 1-2, pp. 105-123, (1994); Eaton K.J., Mayne J.R., The measurement of wind pressures on two-storey houses at Aylesbury, J. Wind Eng. Ind. Aerod., 1, pp. 67-109, (1975); Sakib F.A., Stathopoulos T., Bhowmick A.K., A review of wind loads on canopies attached to walls of low-rise buildings, Eng. Struct., 230, (2021); Knarud J.I., Geving S., Comparative study of hygrothermal simulations of a masonry wall, Energy Proc., 132, pp. 771-776, (2017); Allue Hoyos C., Applicability of COMSOL Multiphysics to Combined Heat, Air and Moisture Transfer Modelling in Building Envelopes, (2014); Radon J., Was K., Flaga-Maryanczyk A., Schnotale J., Experimental and theoretical study on hygrothermal long-term performance of outer assemblies in lightweight passive house, J. Build. Phys., 41, 4, pp. 299-320, (2018); Birjukovs M., Apine I., Jakovics A., Numerical models for long-term performance assessment of lightweight insulating assemblies, IOP Conf. Ser. Mater. Sci. Eng., 660, (2019); Busser T., Berger J., Piot A., Pailha M., Woloszyn M., Experimental Validation of Hygrothermal Models for Building Materials and Walls: an Analysis of Recent Trends, (2018); Ramos N.M., Delgado J.Q., Barreira E., de Freitas V.P., Hygrothermal properties applied in numerical simulation: interstitial condensation analysis, J. Build. Apprais., 5, 2, pp. 161-170, (2009); Dong W., Chen Y., Bao Y., Fang A., A validation of dynamic hygrothermal model with coupled heat and moisture transfer in porous building materials and envelopes, J. Build. Eng., 32, (2020); (2023); Tanyer A.M., Tavukcuoglu A., Bekboliev M., Assessing the airtightness performance of container houses in relation to its effect on energy efficiency, Build. Environ., 134, pp. 59-73, (2018); Rahiminejad M., Khovalyg D., Review on ventilation rates in the ventilated air-spaces behind common wall assemblies with external cladding, Build. Environ., 190, (2021); Churchill S.W., Friction-factor equation spans all fluid-flow regimes, Chem. Eng., 84, 24, (1997); Bergman T.L., Lavine A.S., Incropera F.P., Dewitt D.P., Fundamentals of Heat and Mass Transfer, (2011); Gnielinski V., New equations for heat and mass transfer in turbulent pipe and channel flow, Int. Chem. Eng., 16, 2, pp. 359-368, (1976); Xu C., Li S., Zou K., Study of heat and moisture transfer in internal and external wall insulation configurations, J. Build. Eng., 24, (2019); Belanger J., Caractérisation des transferts hygrothermiques dans une enveloppe de bâtiment en bois par la résolution d'un problème inverse par l'optimisation des propriétés physiques des matériaux, (2021); Information on the inclusion of data in the WUFI® database | WUFI (en); Simonson C.J., Salonvaara M., Ojanen T., Heat and mass transfer between indoor air and a permeable and hygroscopic building envelope: Part I - field measurements, J. Therm. Envelope Build. Sci., 28, 2, pp. 161-185, (2004); Rindler A., Vay O., Hansmann C., Muller U., Dimensional stability of multi-layered wood-based panels: a review, Wood Sci. Technol., 51, 5, pp. 969-996, (2017); Balocco C., Petrone G., Cammarata G., Numerical multi-physical approach for the assessment of coupled heat and moisture transfer combined with people movements in historical buildings, Build. Simulat., 7, 3, pp. 289-303, (2014)</t>
  </si>
  <si>
    <t>Towards a Zero-Emission, Efficient, and Resilient Buildings Sector, (2017); (2009); Mirzabeigi S., Razkenari M., Design optimization of urban typologies: A framework for evaluating building energy performance and outdoor comfort, Sustain Cities Soc, 76, (2022); Webster B., Et al., Accelerating Residential Building Decarbonization: Market Guidance to Scale Zero-Carbon-Aligned Buildings, (2024); Mirzabeigi S., Razkenari M., Multiple benefits through residential building energy retrofit and thermal resilient design, 2022 (6Th) Residential Building Design &amp; Construction Conference, pp. 456-465, (2022); Mirzabeigi S., Zhang J., Razkenari M., Exterior retrofitting systems for energy conservation and efficiency in cold climates: A systematic review, Environ. Sci. Eng., pp. 413-422, (2023); Mirzabeigi S., Et al., Tailored WBGT as a heat stress index to assess the direct solar radiation effect on indoor thermal comfort, Energy Build, 242, (2021); Kamel E., Memari A.M., Residential building envelope energy retrofit methods, simulation tools, and example projects: A review of the literature, Buildings, 12, (2022); Mirzabeigi S., Et al., The impact of building retrofitting on thermal resilience against power failure: A Case Study of air-conditioned house, Environ. Sci. Eng., pp. 2609-2619, (2023); Mirzabeigi S., Eteghad P., Razkenari M., Crovella P., Zhang J., Drone-based scanning technology for characterizing the geometry and thermal conditions of building enclosure system for fast energy audit and design of retrofitting strategies, 2022 (6Th) Residential Building Design &amp; Construction Conference, pp. 251-260, (2022); Building Elements - In-Situ Measurement of Thermal Resistance and Thermal Transmittance - Part 1: Heat Flow Meter Method, (2014); Persily A., Repeatability and Accuracy of Pressurization Testing. in Thermal Performance of the Exterior Envelopes of Buildings II, (1982); C1363-19 - Standard Test Method for Thermal Performance of Building Materials and Envelope Assemblies by means of a Hot Box Apparatus, (2019); E2357-18 - Standard Test Method for Determining Air Leakage Rate of Air Barrier Assemblies, (2018)</t>
  </si>
  <si>
    <t>Model Development</t>
  </si>
  <si>
    <t>Model Development documentation for TASCflow, (1993); Hamlin T., Gusdorf J., Airtightness and energy efficiency of new conventional and R-2000 housing in Canada, (1997); Hens H., Janssens A., Inquiry on HAMCAT CODES. Heat, air and moisture transfer in insulated envelope parts, (1993); Hukka A., Viitanen H., A mathematical model of mold growth on wooden material, (1998); Janssens A., Hens H., Condensation and airtightness: Tolerance of roof design, Building Physics in the Nordic Countries, pp. 423-430, (1996); Karagiozis A., Porous media transport, CFD 97, The Fifth Annual Conference of the Computational Fluid Dynamics Society of Canada, pp. 7-21, (1997); Karagiozis A., Overview of the 2-D hygrothermal heat-moisture transport model LATENITE, (1993); Karagiozis A.N., Salonvaara H.M., Hygrothermal performance of EIFS walls: Effect of the combined vapor diffusion and air leakage on the drying potential of an EIFS wall, Third Symposium on Water Problems in Building Exterior Walls: Evaluation, Prevention and Repair, (1998); Karagiozis A.N., Kumaran M.K., Drying potential of EIFS walls: Innovative vapor control strategies, Exterior Insulation and Finish Systems (EIFS): Innovations and Solutions to Industry Challenges, (1997); Karagiozis A., Salonvaara M., Kumaran K., LATENITE hygrothermal material property database, IEA Annex 24 Report T1-CA-94/04, (1994); Kim A.K., Shaw C.Y., Seasonal variation in airtightness of two detached houses, Measured Air Leakage of Buildings, (1986); Data for Wilmington, (1995); Nisson N.J.D., Severe rotting found in homes with exterior insulation systems, Energy Design Update, 15, 12, pp. 1-3, (1995); Ojanen T., Kumaran M.K., Effect of exfiltration on the hygrothermal behavior of a residential wall assembly, J. Thermal Insul. and Bldg. Envs, 9, pp. 215-227, (1996); Ojanen T., Kumaran M.K., Air exfiltration and moisture accumulation in residential wall cavities, Thermal Performance of the Exterior Envelopes of Buildings V, (1992); Persily A.K., Measurements of air infiltration and airtightness in passive solar homes, Measured Air Leakage of Buildings. ASTM STP, 904, (1986); Salonvaara M., Karagiozis A., Moisture transport in building envelopes using an approximate factorization solution method, CFD Society of Canada, (1994); Straube J.F., Moisture control and enclosure wall systems, (1998); TenWolde A., Rose W.B., Moisture control strategies for building envelope, J. Thermal Insul. and Bldg. Envelopes, 9, pp. 206-214, (1996); Viitanen H., Modeling the time factor in the development of brown rot decay in pine and spruce sapwood—The effect of critical humidity and temperature conditions, International Journal of the Biology, Chemistry and Technology of Wood, 51, 2, pp. 99-106, (1997); Viitanen H., Modeling the time factor in the development of mould fungi—The effect of critical humidity and temperature conditions on pine and spruce sapwood, International Journal of the Biology, Chemistry and Technology of Wood, 51, 1, pp. 6-14, (1997); Viitanen H., Factors affecting the development of mould and brown rot decay in wooden material and wooden structures: Effect of humidity, temperature and exposure time, (1996); Warren P.R., Webb B.C., Ventilation measurements in housing, CIBSE Symposium, Natural Ventilation by Design, (1986)</t>
  </si>
  <si>
    <t>Phase I—Collaborative design project Elliot Lake housing, Evaluation of existing experience in building construction relative to indoor radon levels, (1981); 1997 ASHRAE Handbook—Fundamentals, (1997); Currie I.G., Fundamental mechanics of fluids, (1974); Barker A.H., The Model Development and practice of heating and ventilation, (1912); Blasnik M., Personal communication, (1988); Blasnik M., Fitzerald J., Pressure diagnostics—Diagnosing complex air leakage paths: A new approach using blower door induced pressures, (1992); Burnett E., Straube J., Vents, ventilation drying and pressure moderation, (1995); Dalgliesh W.A., Wind loads on low buildings, (1981); Dalgliesh W.A., Schriever W.R., Wind Pressures on Buildings, Canadian Building Digest 34, (1962); Davenport A.G., Wind loads on structures, NRCC 5576, (1960); Davenport A.G., Hui H.Y., External and internal wind pressures on claddings of buildings, (1982); Davenport A.G., Isyumov N., The application of the boundary layer wind tunnel to the prediction of wind loading, Proceedings, International Research Seminar on Wind Effects on Building Structures, (1967); Emswiler J.E., The neutral zone in ventilation, ASHVE Journal, 32, (1926); Garden G.K., Rain Penetration and Its Control, Canadian Building Digest 40, (1963); Handegord G.O., CLIMA 2000, (1989); Harrje D.T., Gadsby K.J., Cromer C.J., Transients and physics of return air, Proceedings of the Air Movement and Distribution Conference, (1986); Hutcheon N.B., Handegord G.O., Building science for a cold climate, (1983); Kronvall J., Air flows in building components, (1980); Larson G.L., Air infiltration through various types of brick wall constructions, ASHVE Transactions, 35, pp. 55-58, (1929); Lstiburek J.W., Lee M.A., Moisture remediation, (1988); Lstiburek J.W., Holiday Inn, (1989); Lstiburek J.W., Humidity control in the humid South, Workshop Proceedings, Bugs, Mold &amp; Rot II, (1993); Lstiburek J.W., Moyer N.A., Lakeland Nursing Home, (1991); Nelson B.D., Robinson D.A., Nelson G.D., Hutchinson M., Energy efficient house, (1986); Nylund P.O., Vindtathet hos fierskiktsvaggar (The windtightness of multi-layer walls), (1966); Nylund P.O., Infiltration and ventilation, Report D22: 1980, (1980); Quirouette R.L., The dynamic buffer zone wall system, Energy Efficient Building Association Annual Conference, (1997); Sauer H.J., Howell R.H., Principles of heating, ventilating, and air conditioning, (1990); Scott A.G., Comments on subfloor ventilation, Proceedings of the II Workshop on Radon and Radon Daughters in Urban Communities Associated with Uranium Mining and Processing, (1979); Steel F., Airtight houses and carbon monoxide poisoning, Canadian Building Digest 222, (1982); Stathopoulos T., Surry D., Davenport A.G., Internal pressure characteristics of low rise buildings due to wind action, Proceedings of the Fifth International Conference on Wind Engineering, (1979); Stricker S., Measurement of airtightness of houses, ASHRAE Transactions, 81, 1, pp. 148-167, (1975); Swami H.V., Chandra S., Procedures for valculating natural ventilation airflow rates in buildings, (1987); Tamura G.T., Wilson A.G., Air leakage and pressure measurements in two occupied houses, ASHRAE Transactions, 70, pp. 110-119, (1964); Tamura G.T., Wilson A.G., Pressure differences for a nine-story building, A result of chimney effect and ventilation system operation, ASHRAE Transactions, 72, (1966); Timusk J., Personal communication, (1983); Timusk J., Design, construction and performance of a dynamic wall house, 8th Air Infiltration Centre Conference, (1987); Timusk J., Seskus A.L., Ary N., Control of wind cooling of wood frame building enclosures, Excellence in Housing Conference, (1988); Tooley J.J., Davis B.E., Power attic ventilation—Another applied building science nightmare and treasure trove, (1994); Tooley J.J., Moyer N.A., Mechanical air distribution and interacting relationships, Florida Home Energy Reviews of Orlando, (1988); Tooley J.J., Moyer N.A., Personal communication, (1989); Walton G.N., Airflow network models for element-based airflow modeling, ASHRAE Transactions, 95, 2, (1989); Walton G.N., CONTAM96, (1997); White J., Ventilation in troubled houses - status and trends, (1983)</t>
  </si>
  <si>
    <t>Thomas R.G. Jr., Exterior Insulation and Finish System Design Handbook, (1992); William M.F., Williams B.L., EIFS resistance to moisture: Face-sealed barrier performance, Development, Use and Performance of Exterior Insulation and Finish Systems (EIFS), ASTM STP 1187, (1995); Lampo R.G., Trovillion J.C., Performance of class PB and class PM exterior insulation and finish systems under impact loadings, Development Use and Performance of Exterior Insulation and Finish Systems, ASTM STP 1187, (1995); Piper R.S., Raab S., Factors affecting the water resistance of EIFS base coats and insulation board, ASTM International Symposium on Exterior Inuslation and Finish Systems (EIFS): Performance of EIFS Worldwide, (1992); Bomberg M., Lstiburek J., Nabhan F., Performance evaluation of Exterior Insulation and Finish Systems (EIFS), Seventh Conference on Building and Science and Technology, pp. 1-15, (1997); Brown W., Ullett J., Karagiozis A., Tonyan T., Barrier EIFS clad walls: Results from a moisture engineering study, Journal of Thermal Insulation and Building Envelopes, 20, pp. 1-21, (1997); Crandell J.C., Kenny T., Investigation of Moisture Damage in Single-Family Detached Houses Sided with Exterior Insulation Finnish Systems in Wilmington NC, (1995); Nelson P., Waltz M., EIFS - Surface sealed wall systems that need flashings, Exterior Insulation Finish Systems (EIFS): Materials, Properties, and Performance, ASTM STP 1269, pp. 149-164, (1996); Kudder J.R., Lies K.M., Comparison of class PB EIFS lamina water transmission test methods, Exterior Insulation Finish Systems (EIFS): Materials, Properties, and Performance, ASTM STP 1269, pp. 84-102, (1996); Nissen N.J.D., Severe rotting found in homes with exterior insulation systems, Energy Design Update, 15, 12, pp. 1-3, (1995); Nissen N.J.D., Ordinary paint as replacement for poly vapor retarder, Energy Design Update, pp. 5-7, (1994); Hutcheon N.B., Humidified buildings Canadian building digest, UDC 697.93, (1963); Lakey J.C., Marchand R.G., Kumaran M.K., A logical extension of the ASTM STANDARD E96 to determine the dependence of water vapor transmission on relative humidity, ASTM STP 1320, pp. 456-468, (1997); Karagiozis A.N., Kumaran M.K., Computer model calculation on the performance of vapor retarders in Canadian residential buildings, ASHRAE Transactions, 99, 2, pp. 991-1003, (1993); Kumaran M.K., Mitalas G.P., Kohonen R., Ojanen T., Moisture transport coefficient of pine from gamma ray absorption measurements, ASME HTD, 123, pp. 179-183, (1989); Ojanen T., Kumaran M.K., Air exfiltration and moisture accumulation in residential wall cavities, Thermal Performance of Exterior Envelopes of Buildings V, (1992); Kunzel H.M., Humidity controlled vapor retarder reduce risk of moisture damage, Proceedings of the 4th Symposium, Building Physics in the Nordic Countries, pp. 447-454, (1996); National building code of Canada, Location of Vapor Barriers, 9.25.6.2., (1990); Ojanen T., Kumaran M.K., Effect of exfiltration on the hygrothermal behavior of a residential wall assembly, Journal of Thermal Insulation and Building Envelopes, 19, pp. 215-227, (1996); Quirouette R.L., The difference between a vapor barrier and an air barrier, Building Practice Note BPN 54, (1995); Rousseau M.Z., Control of surface and concealed condensation, Humidity Condensation and Ventilation in Houses, pp. 29-40, (1983); Karagiozis A., Hadjisophocleous G., Wind-driven rain on high-rise buildings, Thermal Performance of Exterior Envelopes of Buildings VI, (1995); Karagiozis A., Salonvaara M., Kumaran K., LATENITE hygrothermal material property database, IEA Annex 24 Report T1-CA-94/04, (1994); Hens H., Janssens A., Inquiry on HAMCAT CODES, International Energy Agency, Heat, Air and Moisture Transfer in Insulated Envelope Parts, (1993); Karagiozis A., Overview of the 2-D Hygrothermal Heat-Moisture Transport Model LATENITE, (1993); Salonvaara M., Karagiozis A., Moisture Transport in Building Envelopes Using An Approximate Factorization Solution Method, (1994); Salonvaara M., (1998); Model Development Documentation for TASCflow, Version 2.2, (1993); Shipp P., (1996); Data for Wilmington N.C., (1995); Karagiozis A.N., Kumaran M.K., Drying potential of EIFS walls: Innovative vapor control strategies, Exterior Insulation and Finish Systems (EIFS) : Innovations and Solutions to Industry Challenges STP1339, (1997); Lux M.E., Brown W.C., Air leakage control, Proceedings of Building Science Insight '86, pp. 13-19, (1986); Exterior Walls: Understanding the Problems, (1983)</t>
  </si>
  <si>
    <t>Svanstrom M., Blowing agents in rigid polyurethane foam, (1997); Andersson S., Ramnas O., Rydberg T., A study of the use of HCFCs as insulating gas in polymeric materials in comparison with other alternatives, (1992); Brodt K.H., Thermal insulations: CFC-alternatives and vacuum insulation, (1995); Bomberg M., Brandreth D.A., Evaluation of long-term thermal resistance of gas-filled foams: State of the art, insulation materials, testing and applications, pp. 156-173, (1990); Jarfelt U., Thermal conductivity and gas diffusion of rigid PUR foam, (1995); Bomberg M., A model of aging for gas-filled cellular plastics, Journal of Cellular Plastics, 24, pp. 327-347, (1988); Du Cauze De Nazelle G.M.R., Thermal conductivity aging of rigid closed cell polyurethane foams, (1995); Boetes R., Heat transfer reduction in closed cell polyurethane foams, (1996); Norton F.J., Thermal conductivity and life of polymer foams, Journal of Cellular Plastics, pp. 23-27, (1967); Ostrogorsky A.G., Glicksman L.R., Reitz D.W., Aging of polyurethane foams, International Journal of Heat and Mass Transfer, 29, 8, pp. 1169-1176, (1986); Smits G.F., Thoen J.A., Computer modelling of heat transfer through rigid polyurethane foam, Proceedings of the 1st International Workshop on Long-Term Thermal Performance of Cellular Plastics, Session E, SPI Canada, Ontario, Canada, (1989); Bart G.C.J., Du Cauze De Nazelle G.M.R., Certification of thermal conductivity aging of PUR foam, Journal of Cellular Plastics, 29, pp. 29-42, (1993); Cuddihy E.F., Moacanin J., Diffusion of gases in polymeric foams, Journal of Cellular Plastics, pp. 73-80, (1967); Ostrogorsky A.G., Glicksman L.R., Laboratory tests of the effectiveness of diffusion barriers, Journal of Cellular Plastics, 22, pp. 303-313, (1986); Svanstrom M., Ramnas O., Olsson M.E., Jarfelt U., Mass transfer of carbon dioxide through the polyethylene casing of district heating pipes, Journal of Thermal Insulation and Building Envelopes, 21, (1997); Svanstrom M., Ramnas O., Olsson M.E., Jarfelt U., Determination of effective diffusion coefficients in rigid polyurethane foam, Cellular Polymers; Dammers A.J., Du Cauze De Nazelle G.M.R., Efficient computation of gas transfer phenomena through rigid closed cells insulating foams, Proceedings of the 1st International Workshop on Long-Term Thermal Performance of Cellular Plastics, Session B, SPI Canada, Ontario, Canada, (1989); Glicksman L.R., Page M., Aging of foam, Proceedings of the 2nd International Workshop on Long-Term Thermal Performance of Cellular Plastics, Session E, SPI Canada, Niagara-on-the-Lake, Canada, (1991); Norton F.J., Diffusion of chlorofluorocarbon gases in polymer films and foams, Journal of Cellular Plastics, pp. 300-318, (1982); Du Cauze De Nazelle G.R.M., Bart G.C.J., Dammers A.J., A fundamental understanding of the thermal conductivity aging of PUR foams, Proceedings of the 2nd International Workshop on Long-Term Thermal Performance of Cellular Plastics, Session E, SPI Canada, Niagara-on-the-Lake, Canada, (1991); Crank J., McFarlane N.R., Newby J.C., Paterson G.D., Pedley J.B., Diffusion processes in environmental systems, (1981); Page M.C., Glicksman L.R., Measurements of diffusion coefficients of alternate blowing agents in closed cell foam insulation, 33rd Annual Polyurethane Technical/Marketing Conference, Sept. 30-Oct. 3, (1990); Isberg J., The thermal conductivity of polyurethane foam, (1988); Touloukian Y.S., Liley P.E., Saxena S.C., Thermalphysical Properties of Matter: The TPRC Data Series, Volume 3, Thermal Conductivity, Nonmetallic Liquids and Gases, (1970); Smits G.F., Thoen J.A., Fundamental aspects of thermal conductivity aging and dimensional stability of rigid polyurethane foams, Insulation Materials: Testing and Applications, 2nd Volume, pp. 167-193, (1991); Smits G.F., Thoen J.A., Mathematical modelling techniques to predict important aspect of k-factor, aging of CFC-11 free rigid insulation, Polyurethane World Congress, pp. 412-427, (1991); Pollyanna W., Lennart V., Thermal conductivity of gaseous mixture in foams: An evaluation of existing calculation methods, (1992); Blomberg T., Heat conduction in two and three dimensions, computer modelling of building physics applications, (1996); Patankar S.V., Numerical heat transfer and fluid flow, (1980); Broennum T., CFC-free polyurethane pipe insulation foams for use in district heating systems, Journal of Cellular Plastics, 28, pp. 200-217, (1992); Sparks L.L., Cryogenic foam insulation: Polyurethane and polystyrene, Non-Metallic Materials and Composites, (1979); Caps R., Heinemann U., Fricke J., Keller K., Thermal conductivity of polyimide foams, International Journal of Heat and Mass Transfer, 40, 2, pp. 269-280, (1997); Kuhn J., Ebert H.P., Arduini-Schuster M.C., Buttner D., Fricke J., Thermal transport in polystyrene and polyurethane foam insulation, International Journal of Heat and Mass Transfer, 35, pp. 1795-1801, (1992); Glicksman L.R., Torpey M., Marge A., Means to improve the thermal conductivity of foam insulation, Journal of Cellular Plastics, 28, pp. 571-583, (1992); Van Krevelen D.W., Properties of Polymers, 3rd Edition, (1990); Bhattacharjee D., King J.A., Whitehead K.N., Thermal conductivity of PU/PIR foams as a function of mean temperature, Journal of Cellular Plastics, 27, pp. 240-251, (1991); Hirsch C., Numerical computation of internal and external flows, (1992); Shankland I.R., The effect of cell structure on the rate of foam aging, Proceedings of the 1st International Workshop on Long-Term Thermal Performance of Cellular Plastics, Session E, SPI Canada, Ontario, Canada, (1989); Reiss H., Ziegenbein B., Temperature-dependent extinction coefficient and solid thermal conductivities of glass fiber insulations, Thermal Conductivity, 18, pp. 412-424, (1985); Crank J., The mathematics of diffusion, (1975); Brodt K.H., Brood R.R.H., Bart G.C.J., Permeation of gas barrier layers, Journal of Thermal Insulation and Building Envelops, 19, pp. 132-148, (1995); Glicksman L., Schutz M., Sinofsky M., Radiation heat transfer in foam insulations, International Journal of Heat and Mass Transfer, 30, pp. 187-197, (1987); Svanstrom M., Ramnas O., A method for analyzing the gas phase in polyurethane foam, Journal of Cellular Plastic, 31, 4, pp. 375-388, (1995); Hagentoft C.E., Building physics fundamentals, (1997); Wang J., On aging modeling of pipe insulating foams, (1998); Brandrup J., Immergut E.H., Polymer Handbook, (1989); Schuetz M.A., Glicksman L.R., A basic study of heat transfer through foam insulation, 6th International Polyurethane Conference, San Diego, California, pp. 341-347, (1983); Carslaw H.S., Jaeger J.C., Conduction of heat in solids, (1959); Duntemann J., Mischel J., Taylor D., Delphi programming explorer:, (1995); Strzepek W.R., Overview of physical properties of cellular thermal insulations, Insulation Materials, Testing and Applications, (1990); Schuetz M.A., Heat transfer in foam insulation, (1982); Mikhailov M.D., Ozisik M.N., Unified analysis and solutions of heat and mass diffusion, (1984); Nevander L.E., Elmarsson B., Fukt-Handbok, Praktik och Teori (Moisture-Handbook, Practice and Model Development), (1994); Anderson N.E., Christensen G., Nielsen F., Bygningers Fugtisolering (Moisture Protection of Buildings), (1984); Nield D.A., Bejan A., Convection in porous media, (1992); Hagentoft C.E., Forced convection coupled with heat conduction in well insulated walls with air gaps, Proceedings of the 2nd Symposium on Building Physics in the Nordic Countries, Trondheim, Norway, August, pp. 52-58, (1990); Hagentoft C.E., Energy transport due to heat conduction and mass transfer - A study of magnitudes, (1991); Hagentoft C.E., Forced and natural convection coupled with heat conduction in walls with air gaps, numerical methods in thermal problems, Proceedings of the Seventh International Conference, (1991); Hagentoft C.E., Thermal effects due to air flow in cracks, Proceedings of the 3rd Symposium on Building Physics in the Nordic Countries, (1993); Hagentoft C.E., Impact and stability of closed airflow paths inside insulated structures, Proceedings of Thermal Performance of the Exterior Envelopes of Buildings VII, Clearwater Beach, Florida, December, pp. 819-827; Sheridan J., Williams A., Close D.J., An experimental study of natural convection with coupled heat and mass transfer in porous media, International Journal of Heat and Mass Transfer, 35, 9, pp. 2131-2143, (1992); Uvslokk S., Skogstad H.B., Aske I.J., Natural convection in timber frame walls with thick thermal insulation layer, Proceedings of the 4th Symposium on Building Physics in Nordic Countries, VTT Espoo, Finland, 1, pp. 315-322, (1996); Claesson J., Forced convective-diffusive heat flow in insulations - A new analytical technique, Proceedings of the 3rd Symposium on Building Physics in the Nordic Countries, Technical University of Denmark, Lyngby, Denmark, 1, pp. 137-144, (1993); Kronvall J., Air flows in building components, (1980); Kohonen R., Kokko E., Ojanen T., Virtanen M., Thermal effects of air flows in building structures, (1985); Janssens A., Reliable control of interstitial condensation in lightweight roof systems, (1998); Hagentoft C.E., Serkitjis M., Simplified simulation models for natural and forced convection in porous media, International Symposium on Moisture Problems in Building Walls, Porto - Portugal, (1995); Serkitjis M., Natural convection heat transfer in a horizontal thermal insulation layer underlying an air layer, (1995); Okland O., Convection in highly insulated building structures, (1998); Silberstein A., Langlais C., Arquis E., Natural convection in light fibrous insulating materials with permeable interfaces: Onset criteria and its effect on the thermal performances of the product, Journal of Thermal Insulation, 14, pp. 22-42, (1990); Chang W.J., Lin H.C., Natural convection in a finite wall rectangular cavity filled with anisotropic porous medium, International Journal of Heat and Mass Transfer, 37, 2, pp. 303-312, (1994); Degan G., Vasseur P., Bilgen E., Convective heat transfer in a vertical anisotropic porous layer, International Journal of Heat and Mass Transfer, 38, 11, pp. 1975-1987, (1995); Hagentoft C.E., Simplified analysis of combined heat, moisture and air transport for one-dimensional cases, (1992); Pederson Rode C., Combined heat and moisture transfer in building constructions, (1990); Kunzel H.M., Kiessl K., Calculation of heat and moisture transfer in exposed building components, International Journal of Heat and Mass Transfer, 40, 1, pp. 159-167, (1997); Hokoi S., Kumaran K., Experimental and analytical investigations of simultaneous heat and moisture transport through glass fibre insulation, Journal of Thermal Insulation and Building Envelopes, 16, pp. 263-292, (1993); Kumaran M.K., Mitalas G.P., Bomberg M.T., Fundamentals of transport and storage of moisture in building materials and components, ASTM Manual Series: MNL 18, Moisture Control in Buildings, pp. 3-17, (1994); Kunzel H.M., Simultaneous heat and moisture transport in building components: One- and two-dimensional calculation using simple parameters, (1995); Galbraith G., McLean C., The selection of appropriate driving potentials for use in combined heat and mass transfer models, (1993); Philip J.R., De Vries D.A., Moisture movement in porous materials under temperature gradient, Trans. Am. Geophysical Union, 38, 2, (1957); De Vries D.A., Simultaneous transfer of heat and moisture in porous media, Trans. Am. Geophysical Union, 39, 5, (1958); Salonvaara M., Moisture potentials: Numerical analysis of two differential equations, (1993); Van Der Laan M.J., Moisture transfer in capillary-porous materials choosing the driving potentials, (1992); Kunzel H.M., Appropriate potentials for the calculation of heat, air and moisture flow in building elements, (1993); Matsumoto M., Simultaneous heat and moisture transfer during freezing-melting in building materials, Proceedings CIB-W40 Sopron Meeting, 6-8 September, (1993); Arfvidsson J., Combined heat and moisture flow in porous material, (1992); Karagiozis A., Overview of the 2D hygrothermal heat-moisture transport model LATENITE, (1993); Gu L.X., Karagiozis A., Theoretical and computational investigations of combined heat, vapor and liquid transfer in porous materials, (1993); Hens H., Heat, Air and Moisture Transfer Through New and Retrofitted Insulated Envelope Parts, 1, (1996); Burch D.M., Chi J., MOIST - A PC program for predicting heat and moisture transfer in building envelopes, (1997); Kumaran M.K., Heat, air and moisture transfer in insulated envelope Parts (HAMTIE): Material properties, International Energy Agency Annex 24, Final Report, 3, (1996); Hansen K.K., Sorption isotherm catalogue, (1986); Ojanen T., Evaluation of simulation model TCCC2D using simplified weather data and material properties, (1996); Descamps F., Continuum and discrete modelling of isothermal water and air transfer in porous media, (1997); Lomas K.J., Thermal programme validation, Proceedings of the BEP-94 Conference, BEPAF, pp. 73-82, (1994); Hens H., Et al., Heat, Air and Moisture Transfer Through New and Retrofitted Insulated Envelope Parts, Common Exercises, 1, (1996); Hens H., Jansens A., Enquiry on existing HAMCaT codes, (1992); Wilson A.G., Garden G.K., Moisture accumulation in walls due to air leakage, Proceedings of the RILEM/CIB Symposium on Moisture Problems in Buildings, Helsinki, 2-9, (1965); Dickens H.B., Hutcheon N.B., Moisture accumulation in roof spaces under extreme winter conditions, Proceedings of the RILEM/CIB Symposium on Moisture Problems in Buildings, Helsinki, 7-1, (1965); Burch D.M., Luna D.E., A mathematical model for predicting attic ventilation rates required for preventing condensation on roof sheathing, ASHRAE Transactions, 86, 1, pp. 201-220, (1980); Condensation in insulated domestic roofs, (1983); Bankvall C.G., Natural convection in vertical permeable space, Wärmeund Stoffübertragung, 7, pp. 22-30, (1974); Powell F., Krati M., Tuluca A., Air movement influence on the effective thermal resistance of porous insulations: A literature survey, Journal of Thermal Insulation, 12, pp. 239-251, (1989); Bankvall C.G., Forced convection - Practical thermal performance under the influence of wind and workmanship, (1977); Trethowen H.A., Sensitivity of insulated wall and ceiling cavities to workmanship, Journal of Thermal Insulation, 15, pp. 172-179, (1991); Virtanen M., Thermal coupling of leakage air and heat flows in buildings and in building components: Development and application of numerical methods, (1993); Bories S.A., Natural convection in porous media, Advances in Transport Phenomena in Porous Media, pp. 77-141, (1987); Kumaran M.K., Wang J., How well should one know the hygrothermal properties of building materials?, Proceedings of CIB W40 Meeting, Prague, August, pp. 47-52, (1999); Hagentoft C.E., Harderup E., Moisture conditions in a north facing wall with cellulose loose fill insulation: Constructions with and without vapor retarder and air leakage, ASHRAE Transactions, 101, 1, pp. 639-646, (1995); Janssen A., Hens H., Condensation and airtightness: Tolerance of roof design, Proceedings of the 4th Symposium on Building Physics in Nordic Countries, VTT Espoo, Finland, 2, pp. 423-430, (1996); Handegord G.O., Air leakage, ventilation and moisture control in buildings, moisture migration in buildings, ASTM STP 779, pp. 223-233, (1982); Hagentoft C.E., The impact of heat, air and moisture transport on energy demand and durability, (1997); Wang J.K., Numerical simulation of two-dimensional heat conduction in polar coordinates, (1996); Wahlgren P., Convection in loose-fill attic insulation, (2001); Wang J., Heat and mass transfer in gas-filled insulating foams, (1998); Wang J., Simultaneous heat and gas transfer through rigid polyurethane foam insulation, (1997); Wang J., On aging modeling of pipe insulating foams, (1998); Kumaran M.K., Wang J., How well should one know the hygrothermal properties of building materials?, Proceedings of CIB W40 Meeting, Prague, August, pp. 47-52, (1999); Wang J., An experimental investigation of drying materials in controlled environment, (1999); Wang J., Drying of cement board in a controlled environment - Experiment, simulation and parametric analysis, (1999); Olsson M., Long-term thermal performance of polyurethane-insulated district heating pipes, (2001); Roels S., Moisture transfer in heterogeneous porous media, (2000); Hagentoft C.E., Et al., Assessment method of numerical prediction models for combined heat, air and moisture transfer in building components - Benchmarks for one-dimensional cases, (2003); Arfvidsson J., Claesson J., Isothermal moisture flow in building materials: Modelling, measurements and calculations based on Kirchhoff's potential, Building and Environment, 35, 6, pp. 519-536, (2000); Rode C., Prediction of moisture transfer in building constructions, Building and Environment, 27, 3, pp. 387-397, (1992)</t>
  </si>
  <si>
    <t>AEA Technology Engineering Software Ltd; 2001 ASHRAE Handbook—Fundamentals, (2001); Balocco C., A simple model to study ventilated facades energy performance, Energy and Buildings, 34, pp. 469-475, (2001); Burnett E.F.P., Straube J.F., Vents, ventilation drying, and pressure moderation, (1995); Choi E.C.C., Wang Z., Study on pressure-equalization of curtain wall systems, Journal of Wind Engineering and Industrial Aerodynamics, 73, pp. 251-266, (1998); Hansen M., Nicolajsen A., Stang B., On the influence of ventilation on moisture content in timber framed walls, Building Physics 2002 6th Nordic Symposium, (2002); Karagiozis A., Introduction to MOISTURE-EXPERT Software, (2001); Kays W.M., Crawford M.E., Convective Heat and Mass Transfer, (1980); Kumar K.S., Stathopoulos T., Wisse J.A., Field measurement data of wind loads on rainscreen walls, Journal of Wind Engineering and Industrial Aerodynamics, 91, pp. 1401-1417, (2003); Kumar K.S., Wisse J.A., Pressure equalization of rainscreen facades: Analysis of the field data in the frequency domain, Wind and Structures, 4, 2, pp. 101-118, (2001); Kunzel H., Mayer E., Untersuchung über die notwendige Hinterlüftung an Außenwandbekeidung aus großformatigen Bauteilen, Schriftenreihe Bundesminister für Raumordnung, Bauwesen, und Städtebau, (1983); Kunzel H., Mayer E., Wärme- und Regenschutz bei zweischaligem Sichtmauerwerk mit Kerndämmung, BMFT-Forschungbericht, pp. T84-191, (1984); Mayer E., Kunzel H., Untersuchungen über die notwendige Hinterlüftung an Außenwandbekeidung aus großformatigen Bauteilen, (1983); Pinon J., Davidovic D., Burnett E., Srebic J., Characterization of ventilation airflow in screened wall systems, (2004); Popp W., Mayer E., Kunzel H., Untersuchungen über die Belüftung des Luftraumes hinter vorgesetzten Fassadenbekleidung aus kleinformatigen Elementen, (1980); Schwarz B., Witterungsbeansphruchung von Hochhausfassaden, HLH Bd, 24, 12, pp. 376-384, (1973); Shakerin S., Bohn M., Loehrke R.I., Natural convection in an enclosure with discreet roughness elements on a vertical heated wall, Int. J. Heat Mass Transfer, 31, 7, pp. 1423-1430, (1988); Straube J.F., Ventilated wall systems: Review of literature and Model Development, (2004); Straube J.F., Burnett E.F.P., Vents, ventilation and masonry veneer wall systems, Proceedings of the Eighth Canadian Masonry Symposium, pp. 194-207, (1998); Straube J.F., Burnett E.F.P., Drainage, ventilation drying, and enclosure performance, Conference Proceedings, Thermal Performance of The Exterior Envelopes of Buildings VII, pp. 189-198, (1998); Straube J.F., Moisture control and enclosure wall systems, (1998)</t>
  </si>
  <si>
    <t>2005 ASHRAE Handbook—Fundamentals, (2005); BSR/ASHRAE Standard 160P, Design Criteria for Moisture Control in Buildings; Barrett D., The renewal of trust in residential construction—Part 1, (1998); Bassett M.R., McNeil S., Measured ventilation rates in water managed wall cavities, Proceedings from the 3rd International Building Physics Conference, pp. 403-410, (2006); Burnett E., Reynolds A., Final report—Ontario wall drying study, (1991); Burnett E., Straube J., Karagiozis A., Synthesis report and guidelines, (2004); Brown W., Adams P., Tonyan T., Ullett J., Water management in exterior wall claddings, Journal of Thermal Insulation and Building Envelopes, 21, pp. 23-43, (1997); Brown W., Chouinard K., Lawton M., Patenaude A., Vlooswyk J., Field experience with moisture management—Putting principals into practice, Building Science Insight Proceedings of the Seminar Series, (2003); Crandell J., Kenney T., Investigation of Moisture Damage in Single-Family Detached Houses Sided with Exterior Insulation Finish Systems in Wilmington, NC, (1996); Finch G., The performance of rainscreen walls in coastal British Columbia, (2007); Finch G., Straube J., Hubbs B., Hygrothermal performance and drying potential of wood frame rainscreen walls in Vancouver’s coastal climate, Proceedings from 11th Canadian Conference on Building Science and Technology, (2007); Finch G., Straube J., Richmond M., Field performance of spray polyurethane foam: The role of vapour diffusion control, Proceedings from 11th Canadian Conference on Building Science and Technology, (2007); Forest T., Walker I., Drying of walls—Prairie region, (1990); Envelope drying rates experiment, (2001); Karagiozis A., Benchmarking of the moisture-expert model for ventilation drying, (2004); Karagiozis A.N., Kunzel H.M., Holm A., WUFI-ORNL/IBP—A North American hygrothermal model, Proceedings of the Performance of Exterior Envelopes of Whole Buildings VIII, (2001); Kehrer M., Personal communication regarding WUFI 4.1 BETA program using sources and sinks, (2006); Kunzel H.M., Effect of interior and exterior insulation on the hygrothermal behaviour of exposed walls, Materials and Structures, 31, pp. 99-103, (1998); Kunzel H.M., More moisture load tolerance of construction assemblies through the application of a smart vapor retarder, Proceedings of the Performance of Exterior Envelopes of Whole Buildings VIII, pp. 1129-1132, (1998); Moisture induced problems in NHA housing—Parts 1, 2 and 3, (1983); Mayer E., Kunzel H., Untersuchungen über die notwendige hinterlüftung an auenwandbekeidung aus groformatigen bauteilen, (1983); McCuaig L., Final report on the drying of walls—Atlantic Canada 1987, (1988); McNeil S., Bassett M., Moisture recovery rates for walls in temperate climates, Proceedings from 11th Canadian Conference on Building Science and Technology, (2007); Hershfield Morrison, Moisture in Canadian wood-frame house construction: Problems, research and practice from 1975 to 1991, (1992); Hershfield Morrison, Survey of building envelope failures in the coastal climate of British Columbia, (1996); Hershfield Morrison, Stucco-clad wall drying experiment, (1999); National Building Code of Canada, (2005); Pinon J.P., Burnett E.F.P., Davidovic D., Srebric J., The airflow characteristics of ventilated cavities in screen type enclosure wall systems, Proceedings of the Performance of Exterior Envelopes of Whole Buildings IX, (2004); Popp W., Mayer E., Kunzel H., Untersuchungen über die belüftung des luftraumes hinter vorgesetzten fassadenbekleidung aus kleinformatigen elementen, (1980); Study of high-rise envelope performance in the coastal climate of British Columbia, (2001); Performance monitoring of rainscreen wall assemblies in Vancouver, British Columbia, (2005); Schumacher C., Shi X., Davidovic D., Burnett E., Straube J., Ventilation drying in wall systems, Proceedings of the 2nd International Conference on Building Physics, (2003); Shi X., Schumacher C., Burnett E., Ventilation drying under simulated climate conditions, (2004); Smegal J., Drainage and drying of small gaps in wall systems, (2006); Stovall T.K., Karagiozis A., Airflow in the ventilation space behind a rainscreen wall, Proceedings of the Performance of Exterior Envelopes of Whole Buildings IX, (2004); Straube J.F., Moisture control and enclosure wall systems, (1998); Straube J., Burnett E., Vents, ventilation, and pressure moderation, (1995); Straube J., Burnett E., Building Science for Building Enclosures, (2005); Straube J.F., Schumacher C.J., Hygrothermal enclosure models: A comparison with field data, Proceedings of the 2nd International Conference on Building Physics, pp. 319-326, (2003); Straube J., Onysko D., Schumacher C., Methodology and design of field experiments for monitoring the hygrothermal performance of wood frame enclosures, Journal of Thermal Insulation and Building Envelopes, 26, 2, pp. 123-151, (2002); Straube J.F., Burnett E., VanStraaten R., Schumacher C., Review of literature and Model Development, (2004); TenWolde A., Carll C., Effect of cavity ventilation on moisture in walls and roofs, Proceedings of the Thermal Performance of the Exterior Envelopes of Buildings V, pp. 555-562, (1992); TenWolde A., Carll C., Malinauskas V., Airflows and moisture conditions in walls of manufactured homes, Airflow Performance of Building Envelopes, Components and Systems, pp. 137-155, (1995); VanStraaten R., Measurement of ventilation and drying of vinyl siding and brick clad wall assemblies, (2004)</t>
  </si>
  <si>
    <t>Ben Nasrallah S., Perre P., Detailed study of a model of heat and mass transfer during convective drying of porous media, Int. J. Heat Mass Transfer, 31, pp. 957-967, (1988); Blocken B., Wind-driven rain on buildings, (2004); Blocken B., Janssen H., Roels S., Derome D., Carmeliet J., A discussion on the formulae for heat and mass surface coefficients in building research, preparation for Int. J. Heat Mass Transfer, (2006); Chilton T.H., Colburn A.P., Mass transfer (absorption) coefficients, Industrial and engineering chemistry, 26, pp. 1183-1187, (1934); De Paepe M., Steeman H-J., Heat and mass transfer analogy, limitations and applications to buildings, IEA, (2005); Derome D., Moisture occurrence in roof assemblies containing moisture storing insulation and its impact on the durability of the building envelope, (1999); Derome D., Fortin Y., Fazio P., Modeling of moisture behavior of wood planks in nonvented flat roofs, J. of Architectural Eng., ASCE, 9, pp. 26-40, (2003); Erriguible A., Bernada P., Couture F., Roques M., Simulation of convective drying of a porous medium with boundary conditions provided by CFD, Chemical Engineering Research and Design, 84, A2, pp. 113-123, (2006); Ferziger JH, Peri M., Computational Methods for Fluid Dynamics, pp. 58-60, (2002); Fluent 6.1 User’s Guide, (2003); Hedegaard L., Woloszyn M., Rusaouen G., Moisture interactions between air and constructions modelled with CFD, IEA, (2004); Hukka A., Oksanen O., Convective mass transfer coefficient at wooden surface in jet drying of veneer, Holzforschung, 53, pp. 204-208, (1999); Kreith F., Bohn M.S., Principles of heat transfer, (2001); Launder B. E., Spalding D. B., Lectures in Mathematical Models of Turbulence, (1972); Lewis J.S., Heat transfer predictions from mass transfer measurements around a single cylinder in cross flow, Int. J. Heat Mass Transfer, 14, pp. 325-329, (1971); Lienhard J.H., Lienhard V, A Heat Transfer Textbook, (2006); Masmoudi W., Prat M., Heat and mass transfer between a porous medium and a parallel external flow. Application to drying of capillary porous materials, Int. J. Heat Mass Transfer, 34, pp. 1975-1989, (1991); Nabhani M., Tremblay C., Fortin Y., Experimental determination of convective heat and mass transfer coefficients during wood drying, 8th Intl. IUFRO Wood Drying Conference, pp. 225-230, (2003); Neale A., A study in computational fluid dynamics for the determination of convective heat and vapour transfer coefficients, (2006); Salin J-G., External heat and mass transfer – some remarks, 8th Int. IUFRO Wood Drying Conference, pp. 343-348, (2003); Schlichting H., Boundary-Layer Model Development, McGrawHill, (1987); Shih T.-H., Liou W.W., Shabbir A., Yang Z., Zhu J., A new k-e eddy-viscosity model for high Reynolds number turbulent flows – model development and validation, Computers Fluids, 24, 3, pp. 227-238, (1995); Talukdar P., Simonson C., Transient heat and moisture transfer within gypsum, IEA/ECBCS Annex, 41, (2006); Tremblay C., Cloutier A., Fortin Y., Experimental determination of the convective heat and mass transfer coefficients for wood drying, Wood Science and Technology, 34, pp. 253-276, (2000); Trujillo F.J., Lovatt S.J., Harris M.B., Willix J., Pham Q.T., CFD modeling of the heat and mass transfer process during the evaporation of water from a circular cylinder, 3rd Int. Conference on CFD in the Minerals and Process Ind, pp. 99-104, (2003); Wadso L., Surface mass transfer coefficients for wood, Drying Technology, 11, pp. 1227-1249, (1993); Wolfstein M., The velocity and temperature distribution in one dimensional flow with turbulence augmentation and pressure gradient, Int. J. Heat Mass Transfer, 12, pp. 301-318, (1969)</t>
  </si>
  <si>
    <t>Alamdari F., Hammond G.P., Improved Data Correlations for Buoyancy-Driven Convection in Rooms, Building Services Engineering Research and Technology, 4, 3, pp. 106-112, (1983); Beausoleil-Morrison I., The Adaptive Coupling of Heat and Air Flow Modeling Within Dynamic Whole-building Simulation, (2000); Inard C., Bouia H., Dalicieux P., Prediction of air temperature distribution in buildings with a zonal model, Energy and Buildings, 24, pp. 125-132, (1996); Mendonca K.C., Modelisation Thermo-hydro-aeraulique des Locaux Climatises Selon L'approche Zonale, (2004); Mortensen L.H., Woloszyn M., Rode C., Peuhkuri R., Investigation of Microclimate by CFD Modeling of Moisture Interactions between Air and Constructions, Journal of Building Physics, 30, 4, pp. 279-296, (2007); Schlichting H., Gersten K., Boundary Layer Model Development, (2003); Steeman H.J., Modelling Local Hygrothermal Interaction between Airflow and Porous Materials for Building Applications, (2008); Stewart J., Ren Z., COwZ - A subzonal indoor airflow, temperature and contaminant dispersion model, Building and Environment, 41, pp. 1631-1648, (2006); Turner B.L., Flake L.D., The experimental measurement of natural convection heat transfer in rectangular enclosures, ASME Transactions, Journal of Heat Transfer, 102, pp. 236-241, (1980); Woloszyn M., Rode C., Tools for performance simulation of heat, air and moisture conditions of whole buildings, Journal of Building Simulation, 1, pp. 5-24, (2008)</t>
  </si>
  <si>
    <t>Karagiozis A.N., Lstiburek J., Desjarlais A.O., Scientific analysis of vapor retarder recommendations for wall systems constructed in the north america, Thermal Performance of the Exterior Envelopes of Whole Buildings X International Conference, (2007); Karagiozis A.N., Developing innovative wall systems that improve hygrothermal performance of residential buildings, part B, Report No. NETL DE-FC26-02NT41498, (2007); Lstiburek J., IECC submission on vapor retarders, Personal Communication, (2007); Salonvaara M.H., Karagiozis A.N., Pazera M., Miller W., Air cavities behind claddings - What have we learned?, Thermal Performance of the Exterior Envelopes of Whole Buildings Tenth International Conference, (2007); Straube J.F., Burnett E.F.P., Drainage, ventilation drying and enclosure performance, Thermal Performance of the Exterior Envelopes of Buildings VII, (1998); Salonvaara M.H., Ojanen T., Kokko E., Karagiozis A.N., Drying capabilities of wood frame walls with wood siding, Thermal Performance of the Exterior Envelopes of Buildings VII, pp. 165-177, (1998); Hansen M., Nicolajsen A., Stang B., On the influence of ventilation on moisture content in timber framed walls, Building Physics-Sixth Nordic Symposium, (2002); Tenwolde A., Carll C.G., Effect of cavity ventilation on moisture in walls and roofs, Proceedings of the Thermal Performance of the Exterior Envelopes of Buildings v, pp. 555-562, (1992); Hens H., Bouwfysica 1: Warme-En Massatransport, (1992); Van Straaten R., Ventilation of enclosure wall assemblies, M.A.Sc. Thesis, (2004); Stovall T.K., Karagiozis A.N., Airflow in the ventilation space behind a rain screen wall, Exterior Envelopes of Whole Buildings Ninth International Conference, (2004); Straube J.F., Vanstraaten R., Burnett E.F., Schumacher C., Review of literature and Model Development, Report No. 1, ASHRAE 1091 Report, (2004); Burnett E., Straube J., Karagiozis A., Synthesis report and guidelines, ASHRAE TRP-1091 Report No. 12, (2004); Schwarz B., Witterungsbeansphruchung von hochhausfassaden, HLH, 24, 12, pp. 376-384, (1973); Kuenzel H., Mayer E., Untersuchung Ilber Die Notwendige Hinterlilftung An Aufienwandbekeidung Aus Groβformatigen Bauteilen, (1983); Uvslokk S., The importance of wind barriers for insulated wood frame constructions, Proceedings of the Symposium and Day of Building Physics, (1987); Popp W., Mayer E., Kuenzel H., Untersuchungen iiber die beluftung des luftraumes hinter vorgesetzten fassadenbekleidung aus kleinformatigen el-ementen, Forschungsbericht B Ho 22/80, (1980); Straube J.F., Burnett E.F.P., Vents, ventilation drying, and pressure moderation, Building Engineering Group Report for Canada Mortgage and Housing Corporation, (1995); Kuenzel H.M., Simultaneous Heat and Moisture Transport in Building Components-One- And Two-Dimensional Calculation Using Simple Parameters, (1995); Karagiozis A., Kuenzel H.M., Holm A., WUFI ORNL/IBP-a north American hygrothermal model, Performance of Exterior Envelopes of Whole Buildings VIII, (2001); Tichy R., Murray C., Developing innovative wall systems that improve hygrothermal performance of residential buildings progress report, part A, Report No. NETL DE-FC26-02NT41498, (2007); Criteria for Moisture Control Design Analysis in Buildings</t>
  </si>
  <si>
    <t>Bassett M.R., McNeil, Drained and Vented Cavity Walls-measured Ventilation Rates, (2005); Burnett E., Straube J., Karagiozis A., Synthesis Report and Guidelines, (2004); Hazleden D., Morris P., The Influence of Design on Drying of Wood-Frame Walls under Controlled Conditions, (2002); Survey of Building Envelope Failures in the Coastal Climate of British Columbia, (1998); (2005); Onysko M.D., Drying of Walls with Ventilation: A Parametric Analysis, (2000); Rousseau M.Z., Dalgliesh W.A., Selected Findings of An IRC Study of the Wetting and Drying Potentials of Wood-frame Walls Exposed to Different Climates, (2004); Shi X., Burnett E., Ventilation drying in walls with vapor impermeable claddings, Proceedings of the 3rd International Conference in Building Physics and Building Engineering, pp. 395-402, (2006); Simpson Y., Field Evaluation of Ventilation Wetting and Drying of Rain Screen Walls in Coastal British Columbia, (2010); Straube J., VanStraaten R., Burnett E., Schumacher C., Review of Literature and Model Development, (2004); Straube J., Onysko M.D., Schumacher C., Methodology and Design of Field Experiments for Monitoring the Hygrothermal Performance of Wood Frame Enclosures, Journal of Thermal Envelope and Building Science, 26, 2, pp. 123-151, (2002); Tariku F., Ge H., Moisture Response of Sheathing Board in Conventional and Rain-Screen Wall Systems with Shiplap Cladding, Journal of Testing and Evaluation, 39, pp. 381-388, (2010)</t>
  </si>
  <si>
    <t>BBR Regelsamling för byggande, BBR 2012 (Building regulations, BBR 2012), (2012); Hagerstedt S.O., Harderup L.E., Importance of a proper applied airflow in the facade air gap when moisture and temperature are calculated in wood framed walls, 5th International symposium on building and ductwork air-tightness, (2010); Hagerstedt S.O., Arfvidsson J., Comparison of field measurements and calculations of relative humidity and temperature in wood framed walls, Thermophysics 2010-15th international meeting of thermophysical society, (2010); Falk J., Sandin K., Ventilated rainscreen cladding: measurements of cavity air velocities, estimation of air change rates and evaluation of driving forces, Build Environ, 59, pp. 164-176, (2013); Falk J., Sandin K., Ventilated rainscreen cladding: a study of the ventilation drying process, Build Environ, 60, pp. 173-184, (2013); Larsson O., Modelling of temperature profiles in a concrete slab under climatic exposure, Struct Concr, 10, pp. 193-201, (2009); Kronwall J., Air flows in building components, (1980); Burnett E.F.P., Straube J., Vents, ventilation drying and pressure moderation, (1995); Andersen K.T., Ventilerede hulrum i vaegkontruktioner - en teoretisk analyse. By og Byg Dokumentation 001, (2000); Gudum C., Moisture transport and convection in building envelopes - ventilation in light weight outer walls, (2003); Pinon J., Davidovic D., Burnett E., Srebric J., Characterization of ventilation airflow in screen-type wall systems, (2004); Bassett M.R., McNeil S., Drained and vented cavity walls - measured ventilation rates, IRHACE Conference institution of refrigeration, heating and air conditioning engineers, (2005); Bassett M.R., McNeil S., The Model Development of ventilation drying applied to New Zealand cavity walls, IRHACE Conference institution of refrigeration, heating and air conditioning engineers, (2005); Ge H., Ye Y., Investigation of ventilation drying of rainscreen walls in the coastal climate of British Columbia, Thermal performance of the exterior envelopes of whole buildings X, (2007); Davidovic D., Pinon J., Burnett E.F.P., Srebric J., Analytical procedures for estimating airflow rates in ventilated, screened wall systems (VSWS), Build Environ, 47, pp. 126-137, (2012); Straube J., VanStraaten R., Burnett E., Schumacher C., Review of literature and Model Development, (2004); Salonvarra M., Karagiozis A.N., Pazera M., Miller W., Air cavities behind claddings - what have we learned?, Thermal performance of the exterior envelopes of whole buildings X, (2007); Finch G., Straube J., Ventilated wall claddings: review, field performance and hygrothermal modeling, Thermal performance of the exterior envelopes of whole buildings X, (2007); Rousseau J., Drying of walls with ventilated stucco cladding: a parametric analysis, (1999); Davidovic D., Srebric J., Burnett E.F.P., Modeling convective drying of ventilated wall chambers in building enclosures, Int J Thermal Sci, 45, pp. 180-189, (2006); Shi X., Burnett E., Ventialtion drying in enclosure walls with vinyl cladding, Thermal performance of the exterior envelopes of whole buildings X, (2007); Shi X., Schumacher C., Burnett E., Ventilation drying under simulated climate conditions, (2004); Lawton M.D., Brown C.B., Lang A.M., Stucco-clad wall drying experiment, Thermal performance of the exterior envelopes of whole buildings VIII, (2002); Hazleden D., Envelope drying rates experiment - final report, (2001); Schumacher C., Shi X., Burnett E., Ventilation drying in screen-type wall systems: a physical demonstration, (2004); TenWolde A., Carll C., Malinauskas V., Airflows and moisture conditions in walls of manufactured homes, Airflow performance of building envelopes, components and systems, pp. 137-155, (1995); Hansen M.H., Nicolajsen A., Stang B., On the influence of cavity ventilation on moisture content in timber frame walls, Building physics 2002-6th nordic symposium, (2002); Nore K., Thue J.V., Time B., Rognvik E., Ventilated wooden claddings - a field investigation, 7th Symposium on building physics in the nordic countries, (2005); Popp W., Mayer E., Kunzel H., Untersuchungen über die belüftung des luftraumes hinter vorgesetzen fassadenbekleidung aus kleinformatigen elementen, (1980); Sandin K., Energieffektivisering av miljonprogrammets flerbostadshus genom beständiga tilläggsisoleringssystem: Uttorkning av blöt lättbetongvägg efter utvändig tilläggsisolering med olika system, (2012); Straube J., van Straaten R., Field studies of ventilation drying, Thermal performance of the exterior envelopes of whole buildings IX, (2004); Drumheller S.C., Carll C.G., Effect of cladding systems on moisture performance of wood-framed walls in a mixed-humid climate, Thermal performance of the exterior envelopes of whole buildings XI, (2010); McNeil S., Bassett M., Moisture recovery rates for walls in temperate climates, 11th Canadian conference on building science and technology, (2007); Hagentoft C.E., Introduction to building physics, (2001); Mundt-Petersen S.O., Moisture safety in wood frame walls. Blind evaluation of the hygrothermal calculation tool WUFI 5.0 using field measurements and determination of factors affecting the moisture safety, (2013); Thelandersson S., Isaksson T., Mould resistance design (MRD) model for evaluation of risk for microbial growth under varying climate conditions, Build Environ, 65, pp. 18-25, (2013)</t>
  </si>
  <si>
    <t>Umweltnutzung und Wirtschaft: Tabellen zu den Umweltökonomischen Gesamtrechnungen, Teil 2: Energie. Statistisches Bundesamt, (2014); Directive 2012/27/EU of the European Parliament and of the Council of 25 October 2012 on energy efficiency, amending Directives 2009/125/EC and 2010/30/EU and repealing Directives 2004/8/EC and 2006/32/EC (Text with EEA relevance), European Parliament and Council of the European Union, (2012); Schmidt J., Kornadt O., Konvektiver Feuchtetransport und daraus resultierende Bauschäden, Der Bausachverständige, 8, 6, pp. 22-28, (2012); Schmidt J., Kornadt O., Konvektiver Feuchtetransport durch Bauteilleckagen in Bestandsgebäuden, (2010); Fouad N.A., Richter T., Leitfaden Thermografie im Bauwesen: Theorie, Anwendungsgebiete, praktische Umsetzung, (2006); Selvey L.A., Antao C., Hall R., Evaluation of Border Entry Screening for Infectious Diseases in Humans, Emerging Infectious Disease journal, 21, 2, (2015); Durch Vorausschauen kein Nachsehen. Thermografie vereinfacht vorbeugende Instandhaltung in Kraftwerken, BWK. Brennstoff Wärme Kraft, (1999); Blaschke D., Thermografieeinsatz in der Kesselanlage eines Wärmeverbundkraftwerks, Technische Überwachung, 45, 11-12, pp. 32-34, (2004); Videobasierte Raucherkennung sorgt für Sicherheit im Hamburger Hafen, GIT-Sicherheit 2011.[besucht 2016 18.02], 18, (2011); Behaneck M., Photovoltaik-Thermografie, (2015); Fuchs F., Hugger S., Kinzer M., Yang Q.K., Bronner W., Aidam R., Degreif K., Rademacher S., Schnurer F., Schweikert W., Standoff detection of explosives with broad band tunable external cavity quantum cascade lasers; Nagel L., Krall K.E., Jahne B., Comparative heat and gas exchange measurements in the Heidelberg Aeolotron, a large annular wind-wave tank, Ocean Sci., 11, 1, pp. 111-120, (2015); Geissler A., Hauser G., Leckageortung an Gebäuden, (2000); Dufour M.B., Derome D., Zmeureanu R., Analysis of thermograms for the estimation of dimensions of cracks in building envelope, Infrared Physics &amp; Technology, 52, 2, pp. 70-78, (2009); Waite M.B., O'Brien S.M., Air Leakages: Difficulties in measurement, quantification and energy simulation, (2010); Fermacell Gipsfaser Platte, (2016); Optris PI 400, (2016); Dautray R., Lions J.-L., Mathematical Analysis and Numerical Methods for Science and Technology, Vol 1: Physical Origins and Classical Methods, (2000); ANSYS Fluent User, (2015); ANSYS Fluent Model Development, (2015)</t>
  </si>
  <si>
    <t>Flanders S.N., Heat flux tranducers measure in-situ building performance, Journal of Building Physics, pp. 28-52, (1994); Defraeye T., Blocken B., Derome D., Nicolai B., Carmeliet J., Convective heat and mass transfer modelling at air-porous material interfaces: Overview of existing methods and relevance, Chemical Engineering Science, 74, pp. 49-58, (2012); Van Belleghem M., Steeman H., Steeman M., Janssens A., De Paepe M., Sensitivity analysis of CFD coupled non-isothermal heat and moisture modelling, Building and Environment, 45, pp. 2485-2496, (2010); Incropera F.P., DeWitt D.P., Bergman T.L., Lavine A.S., Fundamentals of Heat and Mass Transfer. 6th Ed, (2007); Ariff M., Salim S.M., Cheah S.C., Wall y+ approach for dealing with turbulent flow over a surface mounted cube: Part 1 - Low reynolds number, Seventh International Conference on CFD in the MInerals and Process Industries CSIRO Proceedings, pp. 1-6, (2009); Ahmad T., Plee S.L., Myers J.P., Fluent User's Guide; Chen C.-J., Jaw S.Y., (1998); Ahmad T., Plee S.L., Myers J.P., Fluent Model Development Guide; Nicolai A., Towards a Semi-Generic Simulation Framework for Mass and Energy Transport in Porous Materials, 9th Nordic Symposium on Building Physics - Full Papers, pp. 559-566, (2011)</t>
  </si>
  <si>
    <t>Philip J, Vries D.A, Moisture movement in porous material under temperature gradients, Trans. Am. Geophys Union, 38, pp. 222-232, (1957); De Vries D. A., Simultaneous transfer of heat and moisture in porous media, Trans. Amer. Geophys. Union, 39, pp. 909-916, (1958); De Vries D. A., The Model Development of heat and moisture transfer in porous media revisited, International Journal of Heat and Mass" Transfer, 30, pp. 1343-1350, (1987); Zirkelbach Daniel, Hartwing M, Schafaczek Kunzel, Dampfkonvektion wird berechenbar- Instationares Modell Zur Berucksichtigung von Konvektivem, Feuchteeintrag bei der Simulation von Leichtbaukonstruktionen, 4th International Symposium on Building and Ductwork Airtightness and 30th AIVC conference, pp. 1-8, (2009); Silberstein Anne, Langlais Catherine, Arquis Eric, Natural convection in light fibrous insulating materials with permeable interface: onset criteria and its effect on the thermal performances of the product, J. Build. Phys, 14, 1, pp. 22-24, (1990); Tariku Fitsum, Kumaran Kumar, Fazio paul, Transient model for couple heat, air and moisture transfer through multilayer porous media, int, J. Heat Mass Transfer, 53, 15-16, pp. 3035-3044, (2010); Li Qinru, Rao Jiwu, Fazio Paul, Development of HAM tool for building envelope analysis, Build Environ, 44, 5, pp. 1065-1075, (2009); Haupl P., Grunewald J., Fechner H., Stop H., Coupled heat air and moisture transfer in building structures, lnt. J. Heat Mass Transfer, 40, pp. 1633-1642, (1997); dos Santos Gerson Henrique, Mendes Nathan, Hear, air, and moisture transfer through hollow porous blocks, Int.J. Heat Mass Transfer, 52, 9-10, pp. 2390-2398, (2009); Hens Hugo, Building Physics-Heat, Air, and Moisture: Fundaments and Engineering methods with Examples and Exercises, (2012); Hagentoft C.-E., Kalagasidis A.S., Adl-Zarrabi B., Roels S., Carmeliet J., Hens H., Grunewald J., Funk M., Becker R., Shamir D., Adan O., for combined heat, air and moisture transfer in building components: benchmarks for one-dimensional Case Studys, Journal of Thermal Envelope and building, 27, 4, pp. 327-352, (2004); Nield Donald A., Bejan Adrian, Convection in porous Media, (2006); (2014); Hagentoft Carl-Eric, HAMSTAD - Final report: Methodology of HAM-Modeling, (2002); Hagentoft Carl-Eric, HAMSTAD - WP2 Modeling, (2002)</t>
  </si>
  <si>
    <t>Hens H., IEA Annex 14: Condensation and energy, J. Build. Phys., 3, pp. 261-273, (1992); Adan O., Brocken H., Carmeliet J., Determination of liquid water transfer properties of porous building, materials and development of numerical assessment methods: Introduction to the EC, Hamstad project, J. Build. Phys., 27, pp. 253-260, (2004); Becker R., Condensation and mold growth in dwellings—parametric and field study, Build. Environ., 19, pp. 243-250, (1984); Guidelines on Indoor Air Quality: Dampness and Mold, (2009); Hirota K., Shibuya S., Sakamoto S., Kashima S., A methodology of estimation on air pollution and its health effects in large Japanese cities, Air Quality—Monitoring and Modeling, (2012); Development of WHO Guidelines for Indoor Air Quality: Dampness and Mold; WHO: Report on A Working Group Meeting Bonn, (2007); Indoor air pollutants: Exposure and health effects, Working Group on Assessment and Monitoring of Exposure to Indoor Pollutants, (1983); Sharpe R.A., Bearman N., Thornton C.R., Husk K., Osborne N.J., Indoor fungal diversity and asthma: A meta–analysis and systematic review of risk factor, J. Allergy Clin. Immunol., 135, pp. 110-122, (2015); Biagini J.M., LeMasters G.K., Ryan P.H., Levin L., Reponen T., Bernstein D., Villareal M., Khurana H., Burkle J., Environmental risk factors of rhinitis in early infancy, Pediatric Allergy Immunol, 17, pp. 278-284, (2010); Crook B., Burton N.C., Indoor molds, sick building syndrome and building related illness, Fungal Biol. Rev., 24, pp. 106-113, (2010); Mudarri D., Fisk W.J., Public health and economic impact of dampness and mold, Indoor Air, 17, pp. 226-235, (2007); Lu C., Deng Q., Li Y., Sundell J., Norback D., Outdoor air pollution, meteorological conditions and indoor factors in dwellings in relation to sick building syndrome (SBS) among adults in China, Sci. Total Environ., 560-561, pp. 186-196, (2016); Adan O., On the Fungal Defacement of Interior Finishes, (1994); Becker R., Puterman M., Verhutung von Schimmelbildung in Gebauden. Teil 2: Einflus der Oberflachenmaterialien, Bauphysik, 4, pp. 107-110, (1987); Grinbergs L., Hyppel A., Hoglund I., Ottoson G., Wet–room wall systems—Mold resistance, Proceedings of the International Symposium Energy Efficient Buildings (Design, Performance and Operation) of the CIB Working Commission W67 “Energy Conservation in the Built Environment” and IEA–SHC Working Task Group XIII “Low Energy Buildings”, (1993); Krieger J., Jacobs D.E., Ashley P.E., Baeder A., Chew C.L., Dearborn H., Hynes H.P., Miller J.D., Morley R., Rabito F., Housing interventions and control of asthma–related indoor biologic agents: A review of the evidence, J. Public Health Manag. Pract., 16, pp. s11-s20, (2010); Vereecken E., Roels S., Review of mold prediction models and their influence on mold risk evaluation, Build. Environ., 51, pp. 296-310, (2012); Ayerst G., The effect of moisture and temperature on growth and spore germination in some fungi, J. Stored Prod. Res., 5, pp. 127-141, (1969); Smith S.L., Hill S.T., Influence of temperature and water activity on germination and growth of Aspergillus restrictus and A. Versicolor, Trans. Br. Mycol. Soc., 79, pp. 558-560, (1982); Sedlbauer K., Krus M., Zillig W., Et al., Mold growth prediction by computational simulation, Journal of the Society of Materials Science Japan, 42, pp. 1265-1270, (2014); Clarke J.A., Johnstone C.M., Kelly N.J., McLean R.C., Anderson J.A., Rowan N.J., A technique for the prediction of the conditions leading to mold growth in buildings, Build. Environ., 34, pp. 515-521, (1999); Rowan N., Johnstone C., Craig R., Anderson J., Clarke J., Prediction of toxigenic fungal growth in buildings by using a novel modelling system, Appl. Environ. Microbiol., 65, pp. 4814-4821, (1999); Ojanen T., Peuhkuri R., Viitanen H., Lahdesmaki K., Vinha J., Salminen K., Classification of material sensitivity: A new approach for mold growth modeling, Proceedings of the 9th Nordic Symposium on Building Physics, pp. 867-874, (2011); Abe K., Nagao Y., Nakada T., Sakuma S., Assessment of indoor climate in an apartment by use of a fungal index, Appl. Environ. Microbiol., 62, pp. 959-963, (1996); Hukka A., Viitanen H.A., A mathematical model of mold growth on wooden material, Wood Sci. Technol., 33, pp. 475-485, (1999); Sedlbauer K., Prediction of Mold Fungus Formation on the Surface of and Inside Building Components, (2014); Guo-Jie C., You-Ming C., Xiang-Wei L., Xing-Guo G., Mold germination risk evaluation inside the hygroscopic wall in south of China, J. Saf. Environ (in Chinese), 17, pp. 730-734, (2017); Masaru A., Moisture Stress of Wind–Driven Rain on Building Enclosures, (2009); Franzoni E., Rising damp removal from historical masonries: A still open challenge, Constr. Build. Mater., 54, pp. 123-136, (2014); Biseniece E., Zogla G., Kamenders A., Purvins R., Kass K., Vanaga R., Blumberga A., Thermal performance of internally insulated historic brick building in cold climate: A long term Case Study study, Energy Build, 152, pp. 577-586, (2017); Walker R., Pavia S., Thermal and moisture monitoring of an internally insulated historic brick wall, Build. Environ., 133, pp. 178-186, (2018); Harrestrup M., Svendsen S., Full–scale test of an old heritage multi–storey building undergoing energy retrofitting with focus on internal insulation and moisture, Build. Environ., 85, pp. 123-133, (2015); Xinyuan D., Shuichi H., Yonghui L., Changchang X., Ma Y., Evaluation of mold growth risks due to air leakage through air cavity of the building walls, Proceedings of the MATEC Web of Conferences, 282, (2019); Zhijian L., Shengyuan M., Guoqing C., Chong M., Bao-Jie H., Distribution characteristics, growth, reproduction and transmission modes and control strategies for microbial contamination in HVAC systems: A literature review, Energy Build, 177, pp. 77-95, (2018); Zhijian L., Haotian N., Rui R., Guoqing C., Bao-Jie H., Qihong D., An experiment and numerical study of resuspension of fungal spore particles from HVAC ducts, Sci. Total Environ., 708, (2020); Ebbehoj N.E., Meyer H.W., Wurtz H., Suadicani P., Valbjorn O., Sigsgaard T., Gyntelberg F., Molds in floor dust, building–related symptoms, and lung function among Male and female schoolteachers, Indoor Air, 15, pp. 7-16, (2005); Karagiozis H., Impact of Air Leakage on the Thermal and Moisture Performance of the Building Envelope, (2001); Synnefa A., Vasilakopoulou K., Masi R.F.D., Kyriakodis G.E., Londorfos V., Mastrapostoli E., Theoni Karlessia T., Santamouris M., Transformation through renovation: An energy efficient retrofit of an apartment building in Athens, Procedia Eng, 180, pp. 1003-1014, (2017); Ri N., Shengmao L., Zhigang S., Linxia G., Evaluating energy loss through recessed lighting fixtures (RLF) in residential buildings through a Case Study study, Proceedings of the Computing in Civil and Building Engineering, 2014 International Conference on Computing in Civil and Building Engineering, (2014); Gaelle G., Geoffroy H., Ondarts M., Lena M., Woloszyn M., Modelling the impact of multizone airleakage on ventilation performance and indoor air quality in low–energy homes, Build. Simul., 2, pp. 1-19, (2019); Coulter J., Davis B., Dastur C., Malkin-Weber M., Dixon T., Liabilities of vented crawl spaces and their impacts on indoor air quality in southeastern U.S. Homes, Proceedings of Clima 2007 Well Being Indoors (9th REHVA World Congress): The Influence of Blinds on Temperatures and Air Flows within Ventilated, (2007); Prahl D., Shaffer M., Moisture Risk in Unvented Attics Due to Air Leakage Paths, (2014); Matsumoto M., Simultaneous Heat and Moisture Transfer and Moisture Accumulation in Buildings, (1978); Yonghui L., Daisuke O., Shuichi H., Takeshi I., Effects of emergency preservation measures following excavation of mural paintings in Takamatsuzuka Tumulus, J. Build. Phys., 36, pp. 117-139, (2012); Xie H., Analysis of Performance Degradation of the Chinese Traditional Blue Bricks Based on the Model Development of Heat and Moisture Transfer, (2015); Shuichi H., Tetsuro I., Nitta K., Building Environment Engineering Ⅱ: Heat, Moisture and Ventilation, 37, (2002); Abe K., Assessment of home environments with a fungal index using hydrophilic and xerophilic fungi as biologic sensors, Indoor Air, 22, pp. 173-185, (2012)</t>
  </si>
  <si>
    <t>Viitanen H., Vinha J., Salminen K., Ojanen T., Peuhkuri R., Paajanen L., Lahdesmaki K., Moisture and bio-deterioration risk of building materials and structures, J. Build. Phys., 33, pp. 201-224, (2010); Cai S., Zhang B., Cremaschi L., Review of moisture behavior and thermal performance of polystyrene insulation in building applications, Build. Environ., 123, pp. 50-65, (2017); Cai S., Zhang B., Cremaschi L., Moisture behavior of polystyrene insulation in below-grade application, Energy Build., 159, pp. 24-38, (2018); Jerman M., Cerny R., Effect of moisture content on heat and moisture transport and storage properties of thermal insulation materials, Energy Build., 53, pp. 39-46, (2012); Asphaug S.K., Kvande T., Time B., Peuhkuri R.H., Kalamees T., Johansson P., Berardi U., Lohne J., Moisture control strategies of habitable basements in cold climates, Build. Environ., 169, (2020); Hanssen-Bauer I., Forland E.J., Haddeland I., Hisdal H., Mayer S., Nesje A., Nilsen J.E.O., Sandven S., SandO A.B., Sortberg A., Adlansvik B., Climate in Norway 2100 - a Knowledge Base for Climate Adaptation, (2017); Masson-Delmotte V., Pirani A., Chen Y., Matthews J.B.R., Yelekci O., Et al., Climate Change 2021 the Physical Science Basis, (2021); Bonneau J., Fletcher T.D., Costelloe J.F., Burns M.J., Stormwater infiltration and the ‘urban karst’ – a review, J. Hydrol., 552, pp. 141-150, (2017); Straube J., Field monitoring and hygrothermal modeling of interior basement insulation systems, (2009); Asphaug S., Hjermann I., Time B., Kvande T., Monitoring outward drying of externally insulated basement walls: a laboratory experiment, Build. Environ., 217, (2022); Geving S., Blom P., Kvalvik M., Martinsen E., Utbedring Av Fuktskadede Kjelleryttervegger. Delrapport 2 - Felt-, Laboratorie- Og Beregningsmessige Undersøkelser Av Tre Metoder, (2011); Pallin S., Risk Assessment of Hygrothermal Performance - Building Envelop Retrofit, Doctoral Thesis, (2013); Arfvidsson J., Harderup L.-E., Samuelson I., Fukthandbok: Praktik och teori (Handbook in moisture: practice and Model Development), Fukthandbok, AB Svensk Byggtjanst, (2017); Hansen M.H., Brandt E., Vesterlokke M., Okkels N., Kældervægge og -gulve – fugtsikring og varmeisolering (basement walls and floors - moisture control and thermal insulation), Byg-Erfa., 19, (2015); Blom P., Uvslokk S., Yttervegger mot terreng. Varmeisolering og tetting (Exterior walls below grade, Thermal insulation and sealing) The SINTEF Building Research Design Guides nr, 523, 111, (2015); Canada N.R., Keeping the Heat in - section 6: basement insulation: floors, walls and crawl spaces, (2021); Swinton M.C., Kesik T., Performance Guidelines for Basement Envelope Systems and Materials, (2005); Eesti E., Moisture in Buildings (Niiskus Hoonetes) ET-2 0405-0497, (2003); Lstiburek J., Understanding basements, ASHRAE J., 48, pp. 24-29, (2006); Lahdensivu J., Weijo I., Turunen T., Ahola S., Sistonen E., Vornanen-Winqvist C., Annila P., Reparation av fukt- och mikrobskadade byggnader, (2020); Geving S., Kvalvik M., Martinsen E., Rehabilitation of basement walls with moisture problems by the use of vapour open exterior thermal insulation, Proceedings of the 9th Nordic Symposium on Building Physics, pp. 323-330, (2011); Kvande T., Fuktsikre Konstruksjoner Mor Grunnen. Klima2050 Note 100, (2020); Blom P., Isolering Og Fuktsikring Av Yttervegger Mot Terreng. Målinger I Forsøksvegg. (Thermal Insulation and Moisture Control of Exterior Walls below Grade. Measurements in Experimental Walls), (2012); Straube J., The role of small gaps behind wall claddings on drainage and drying, 11th Canadian Conference on Building Science &amp; Technology, (2007); Straube J., Smegal J., Modeled and measured drainage, storage and drying behind cladding systems, (2009); Finch G., Straube J., Ventilated Wall Claddings: Review, Field Performance, and Hygrothermal Modeling, (2007); Straube J.F., van Straaten R., Burnett E., Field studies of ventilation drying, Buildings IX Proceedings, (2004); Rahiminejad M., Khovalyg D., Review on ventilation rates in the ventilated air-spaces behind common wall assemblies with external cladding, Build. Environ., 190, (2021); Saber H.H., Maref W., Swinton M.C., Thermal response of basement wall systems with low-emissivity material and furred airspace, J. Build. Phys., 35, pp. 353-371, (2012); Goldberg L.F., Harmon A.C., Cold Climate Foundation Retrofit Experimental Hygrothermal Performance: Cloquet Residential Research Facility Laboratory Results, (2015); Fedorik F., Heiskanen R., Laukkarinen A., Vinha J., Impacts of multiple refurbishment strategies on hygrothermal behaviour of basement walls, J. Build. Eng., 26, (2019); Blom P., Holos S.B., Moisture content in insulated basement walls, Proceedings of the 8th Nordic Symposium on Building Physic, (2008); Swinton M.C., Maref W., Bomberg M.T., Kumaran M.K., Normandin N., In situ performance evaluation of spray polyurethane foam in the exterior insulation basement system (EIBS), Build. Environ., 41, pp. 1872-1880, (2006); Fraunhofer IBP, WUFI®Pro; Bost C., How to Model Heat and Moisture Transport in Porous Media with COMSO®, (2017); Asphaug S.K., Time B., Kvande T., Hygrothermal simulations of thermally insulated basement envelopes - importance of boundary conditions below grade, Build. Environ., 199, (2021); Asphaug S.K., Time B., Kvande T., Moisture accumulation in building Façades exposed to accelerated artificial climatic ageing—a complementary analysis to NT build 495, Buildings, 11, (2021); Kunzel H.M., Simultaneous Heat and Moisture Transport in Building Components: One- and Two-Dimensional Calculation Using Simple Parameters, (1995); Bost C., How to Model Heat and Moisture Transport in Air with COMSOL®, (2017); Geving S., Moisture Design of Building Constructions. Hygrothermal Analysis Using Simulation Models. Part I, (1997); Hygrothermal Performance of Building Components and Building Elements - Internal Surface Temperature to Avoid Critical Surface Humidity and Interstitial Condensation - Calculation Methods, (2012); Hygrothermal performance of building components and building elements - assessment of moisture transfer by numerical simulation, (2007); Janssen H., Carmeliet J., Hens H., The influence of soil moisture transfer on building heat loss via the ground, Build. Environ., 39, pp. 825-836, (2004); Janssen H., Carmeliet J., Hens H., The influence of soil moisture in the unsaturated zone on the heat loss from buildings via the ground, JTEBS, 25, (2002); Bygningers Termiske Egenskaper - Termisk Dimensjonering Av Fundamenter for a Unnga Telehiv, (2001); Saaly M., Bobko K., Maghoul P., Kavgic M., Hollander H., Energy performance of below-grade envelope of an institutional building in cold regions, J. Build. Eng., 27, (2020)</t>
  </si>
  <si>
    <t>Almand R., London R., Airtight buildings causing moisture issues., (2020); Alsailani M., Montazeri H., Rezaeiha A., Towards optimal aerodynamic design of wind catchers: Impact of geometrical characteristics, Renewable Energy, 168, pp. 1344-1363, (2021); Alzwayi A.S., Paul M.C., Effect of width and temperature of a vertical parallel plate channel on the transition of the developing thermal boundary layer, International Journal of Heat and Mass Transfer, 63, pp. 20-30, (2013); ANSYS Fluent and CFX 2020 R1, (2020); (2011); ASHRAE Handbook of Fundamentals, (1993); Bassett M.R., McNeil S., The Model Development of ventilation drying applied to New Zealand cavity walls. Paper presented at the Institution of Refrigeration, (2005); Bianco V., Diana A., Manca O., Et al., Thermal behavior evaluation of ventilated roof under summer and winter conditions, International Journal of Heat and Technology, 35, pp. S353-S360, (2017); Bianco V., Diana A., Manca O., Et al., Numerical investigation of an inclined rectangular cavity for ventilated roofs applications, Thermal Science and Engineering Progress, 6, pp. 426-435, (2018); Biwole P.H., Woloszyn M., Pompeo C., Heat transfers in a double-skin roof ventilated by natural convection in summer time, Energy and Buildings, 40, pp. 1487-1497, (2008); Blocken B., Stathopoulos T., Carmeliet J., CFD simulation of the atmospheric boundary layer: wall function problems, Atmospheric Environment, 41, pp. 238-252, (2007); Bortoloni M., Bottarelli M., Piva S., Summer thermal performance of ventilated roofs with tiled coverings, Journal of Physics: Conference Series, 796, (2017); Bottarelli M., Zannoni G., Bortoloni M., Et al., CFD analysis and experimental comparison of novel roof tile shapes, Propulsion and Power Research, 6, pp. 134-139, (2017); Loading for buildings. Code Of Practice For Dead And Imposed Loads, British Standard., (1996); Bunkholt N.S., Sawen T., Stockhaus M., Et al., Experimental study of thermal buoyancy in the cavity of ventilated roofs, Buildings, 10, (2020); Celik I.B., Ghia U., Roache P.J., Et al., Procedure for estimation and reporting of uncertainty due to discretization in CFD applications, Journal of Fluids Engineering, 130, (2008); Cengel Y.A., Cimbala J.M., Fluid Mechanics: Fundamentals and Applications, (2004); Chami N., Zoughaib A., Modeling natural convection in a pitched thermosyphon system in building roofs and experimental validation using particle image velocimetry, Energy and Buildings, 42, pp. 1267-1274, (2010); Ciampi M., Leccese F., Tuoni G., Ventilated facades energy performance in summer cooling of buildings, Solar Energy, 75, pp. 491-502, (2003); De With G., Cherry N., Haig J., Thermal benefits of tiled roofs with above-sheathing ventilation, Journal of Building Physics, 33, pp. 171-194, (2009); El Ahmar S., Battista F., Fioravanti A., Simulation of the thermal performance of a geometrically complex Double-Skin Facade for hot climates: EnergyPlus vs. OpenFOAM, Building Simulation, 12, pp. 781-795, (2019); Falk J., Sandin K., Ventilated rainscreen cladding: Measurements of cavity air velocities, estimation of air change rates and evaluation of driving forces, Building and Environment, 59, pp. 164-176, (2013); Franke J., Hirsch C., Jensen A., Et al., Recommendations on the use of CFD in wind engineering, In: Proceedings of the International Conference on Urban Wind Engineering and Building Aerodynamics., (2004); Gagliano A., Patania F., Nocera F., Et al., Thermal performance of ventilated roofs during summer period, Energy and Buildings, 49, pp. 611-618, (2012); Gargallo-Peiro A., Avila M., Owen H., Et al., Mesh generation, sizing and convergence for onshore and offshore wind farm Atmospheric Boundary Layer flow simulation with actuator discs, Journal of Computational Physics, 375, pp. 209-227, (2018); Gullbrekken L., Uvslokk S., Kvande T., Et al., Wind pressure coefficients for roof ventilation purposes, Journal of Wind Engineering and Industrial Aerodynamics, 175, pp. 144-152, (2018); Irtaza H., Beale R.G., Godley M.H.R., Et al., Comparison of wind pressure measurements on Silsoe experimental building from full-scale observation, wind-tunnel experiments and various CFD techniques, International Journal of Engineering, Science and Technology, 5, pp. 28-41, (2018); Hygrothermal performance of building components and building elements., (2012); Janssens A., Hens H., Effects of wind on the transmission heat loss in duo-pitched insulated roofs: A field study, Energy and Buildings, 39, pp. 1047-1054, (2007); Kovac M., Vojtus J., Analysis of air velocity, moisture and thermal regime in an air gap of a double-shell roof, Energy Procedia, 78, pp. 759-764, (2015); Lee S., Park S.H., Yeo M.S., Et al., An experimental study on airflow in the cavity of a ventilated roof, Building and Environment, 44, pp. 1431-1439, (2009); Li D., Zheng Y., Liu C., Et al., Numerical analysis on thermal performance of naturally ventilated roofs with different influencing parameters, Sustainable Cities and Society, 22, pp. 86-93, (2016); Li J., Tong L., Wu J., Et al., Numerical investigation of wind pressure coefficients for photovoltaic arrays mounted on building roofs, KSCE Journal of Civil Engineering, 23, pp. 3606-3615, (2019); Matour S., Garcia-Hansen V., Omrani S., Et al., Wind-driven ventilation of Double Skin Facades with vertical openings: Effects of opening configurations, Building and Environment, 196, (2021); Menter F.R., Two-equation eddy-viscosity turbulence models for engineering applications, AIAA Journal, 32, pp. 1598-1605, (1994); Menter F.R., Langtry R.B., Likki S.R., Et al., A correlation-based transition model using local variables—part I: model formulation, Journal of Turbomachinery, 128, (2006); Mi H., Research on characteristic parameters of turbulente flow field around a square cross-sectioned bluff body, (2012); Moran P., Hoxey R.P., A probe for sensing static pressure in two-dimensional flow, Journal of Physics E: Scientific Instruments, 12, pp. 752-753, (1979); Pak R., Ocak Z., Sorguven E., Developing a passive house with a double-skin envelope based on energy and airflow performance, Building Simulation, 11, pp. 373-388, (2018); Richards P.J., Hoxey R.P., Computational and wind tunnel modelling of mean wind loads on the Silsoe structures building, Journal of Wind Engineering and Industrial Aerodynamics, 43, pp. 1641-1652, (1992); Richards P., Hoxey R., Appropriate boundary conditions for computational wind engineering models using the k-ϵ turbulence model, Journal of Wind Engineering and Industrial Aerodynamics, 46-47, pp. 145-153, (1993); Richards P.J., Norris S.E., Appropriate boundary conditions for a pressure driven boundary layer, Journal of Wind Engineering and Industrial Aerodynamics, 142, pp. 43-52, (2015); Richards P.J., Norris S.E., Appropriate boundary conditions for computational wind engineering: Still an issue after 25 years, Journal of Wind Engineering and Industrial Aerodynamics, 190, pp. 245-255, (2019); Richardson G.M., Surry D., The Silsoe structures building: Comparison between full-scale and wind-tunnel data, Journal of Wind Engineering and Industrial Aerodynamics, 51, pp. 157-176, (1994); Rupp S., Passive roof ventilation, Build, 152, pp. 54-55, (2016); Rupp S.H., McNeil S., Plagmann M., Overton G., Hygrothermal characteristics of cold roof cavities in new zealand, Buildings, 11, (2021); Safaei Pirooz A.A., Flay R.G.J., Comparison of speed-up over hills derived from wind-tunnel experiments, wind-loading standards, and numerical modelling, Boundary-Layer Meteorology, 168, pp. 213-246, (2018); Sawen T., Stockhaus M., Hagentoft C.E., Et al., Model of thermal buoyancy in cavity-ventilated roof constructions, Journal of Building Physics, (2021); Sharifi A., Yamagata Y., Roof ponds as passive heating and cooling systems: A systematic review, Applied Energy, 160, pp. 336-357, (2015); Straube J., Burnett E., Vents, ventilation drying, and pressure moderation, (1995); Straube J.F., Moisture control and enclosure wall systems, (1998); Susanti L., Homma H., Matsumoto H., Et al., Numerical simulation of natural ventilation of a factory roof cavity, Energy and Buildings, 42, pp. 1337-1343, (2010); Susanti L., Homma H., Matsumoto H., A naturally ventilated cavity roof as potential benefits for improving thermal environment and cooling load of a factory building, Energy and Buildings, 43, pp. 211-218, (2011); Tominaga Y., Mochida A., Yoshie R., Et al., AIJ guidelines for practical applications of CFD to pedestrian wind environment around buildings, Journal of Wind Engineering and Industrial Aerodynamics, 96, pp. 1749-1761, (2008); Tominaga Y., Akabayashi S.I., Kitahara T., Et al., Air flow around isolated gable-roof buildings with different roof pitches: Wind tunnel experiments and CFD simulations, Building and Environment, 84, pp. 204-213, (2015); Tong S., Li H., An efficient model development and experimental study for the heat transfer in naturally ventilated inclined roofs, Building and Environment, 81, pp. 296-308, (2014); Tosun I., Uner D., Ozgen C., Critical Reynolds number for Newtonian flow in rectangular ducts, Industrial &amp; Engineering Chemistry Research, 27, pp. 1955-1957, (1988); Vanpachtenbeke M., Langmans J., van den Bulcke J., Et al., On the drying potential of cavity ventilation behind brick veneer cladding: A detailed field study, Building and Environment, 123, pp. 133-145, (2017); Villi G., Pasut W., De Carli M., CFD modelling and thermal performance analysis of a wooden ventilated roof structure, Building Simulation, 2, pp. 215-228, (2009); Wang M., Hou J., Hu Z., Et al., Optimisation of the double skin facade in hot and humid climates through altering the design parameter combinations, Building Simulation, 14, pp. 511-521, (2021); The Weather Channel, Wheather Channel, (2021); Yang S., Cannavale A., Prasad D., Et al., Numerical simulation study of BIPV/T double-skin facade for various climate zones in Australia: Effects on indoor thermal comfort, Building Simulation, 12, pp. 51-67, (2019); Yau Y.H., Lian Y.C., A computational fluid dynamics study of the effects of buoyancy on air flow surrounding a building, Building Services Engineering Research and Technology, 37, pp. 257-271, (2016); Zaki A., Richards P., Sharma R., Analysis of airflow inside a two-sided wind catcher building, Journal of Wind Engineering and Industrial Aerodynamics, 190, pp. 71-82, (2019); Zheng X., Montazeri H., Blocken B., CFD simulations of wind flow and mean surface pressure for buildings with balconies: Comparison of RANS and LES, Building and Environment, 173, (2020); Zheng X., Montazeri H., Blocken B., CFD analysis of the impact of geometrical characteristics of building balconies on near-facade wind flow and surface pressure, Building and Environment, 200, (2021)</t>
  </si>
  <si>
    <t>Hershfield Morrison, Survey of Building Envelope Failures in the Coastal Climate of British Columbia, (1996); Hershfield Morrison, Stucco-clad Wall Drying Experiment, (1999); Envelope Drying Rates Experiment, (2001); Straube J., Burnett E., Vents, Ventilation, and Pressure Moderation, (1995); Falk J., Ventilated rainscreen cladding: measurements of cavity air velocities, estimation of air change rates and evaluation of driving forces, Building and Environment, 59, pp. 164-176, (2013); Straube J., Burnett E., VanStraaten R., Schumacher C., Review of Literature and Model Development – Report #1. ASHRAE 1091 – Development of Design Strategies for Rainscreen and Sheathing Membrane Performance in Wood Frame Walls, (2004); Lacasse M.A., O'Connor T.J., Nunes S., Beaulieu P., Report from Task 6 of MEWS Project Experimental Assessment of Water Penetration and Entry into Wood-Frame Wall Specimens – Final Report, (2003); ASHRAE Standard 160, Criteria for Moisture-Control Design Analysis in Buildings, (2009); Saito H., Miyamura K., Matusoka D., Osamura S., Mishima N., Demonstration of drying performance in wall assemblies considering rain penetration into vented cavity, Part 1 Outline of field measurements and relation between exterior system and hygrothermal behavior, Summaries of Technical Papers of Annual Meeting, (2022); Kunzel H. M., Karagiozis A. N., Kehrer M., Assessing the benefits of cavity ventilation by hygrothermal simulation, Proceedings of Building Physics Conference, (2008); TenWolde A., Carll C., Effect of Cavity Ventilation on Moisture in Walls and Roofs, Proceedings of the Thermal Performance of the Exterior Envelopes of Buildings V, pp. 555-562, (1992); TenWolde A., Carll C., Malinauskas V., Airflows and Moisture Conditions in Walls of Manufactured Homes, Airflow Performance of Building Envelopes, Components and Systems, pp. 137-155, (1995); Osamura S., Saito H., Nakajima M., Matsuoka D., Sekiguchi H., Study on hygrothermal behavior of wall assembly with vented cavity in consideration of driving rain, Part 2 Impact of components in vented cavity of exterior system on airflow rate, Summaries of Technical Papers of Annual Meeting, (2021); Kunzel H.M., Mayer E., Untersuchung über die notwendige Hinterlüftung an Außenwandbekeidung aus großformatigen Bauteilen, (1983); Umeno T., Hokoi S., Saito H., Honma Y., Field survey on the ventilation volume in the experimental house, Journal of Environmental Engineering (Transactions of AIJ), 694, pp. 909-916, (2013); Tariku F., Iffa E., Empirical model for cavity ventilation and hygrothermal performance assessment of wood frame wall systems: Experimental study, Building and Environment, 157, 15, pp. 112-126, (2019)</t>
  </si>
  <si>
    <t>Decade</t>
  </si>
  <si>
    <t>Classification</t>
  </si>
  <si>
    <t>Compared to Literature/Measeurement/N.A./Simulation</t>
  </si>
  <si>
    <t>Model Development or Casestudy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</si>
</sst>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name val="Calibri"/>
      <family val="2"/>
    </font>
    <font>
      <sz val="11"/>
      <name val="Calibri"/>
      <family val="2"/>
      <scheme val="minor"/>
    </font>
    <font>
      <sz val="11"/>
      <color rgb="FFFF0000"/>
      <name val="Calibri"/>
      <family val="2"/>
      <scheme val="minor"/>
    </font>
    <font>
      <u/>
      <sz val="11"/>
      <color theme="10"/>
      <name val="Calibri"/>
      <family val="2"/>
      <scheme val="minor"/>
    </font>
    <font>
      <sz val="24"/>
      <color theme="1"/>
      <name val="Segoe UI"/>
      <family val="2"/>
    </font>
    <font>
      <sz val="11"/>
      <color theme="0"/>
      <name val="Calibri"/>
      <family val="2"/>
      <scheme val="minor"/>
    </font>
    <font>
      <sz val="11"/>
      <name val="Calibri"/>
      <family val="2"/>
    </font>
    <font>
      <sz val="12"/>
      <color rgb="FF2E2E2E"/>
      <name val="Arial"/>
      <family val="2"/>
    </font>
    <font>
      <b/>
      <sz val="11"/>
      <color theme="1"/>
      <name val="Calibri"/>
      <family val="2"/>
      <scheme val="minor"/>
    </font>
  </fonts>
  <fills count="13">
    <fill>
      <patternFill patternType="none"/>
    </fill>
    <fill>
      <patternFill patternType="gray125"/>
    </fill>
    <fill>
      <patternFill patternType="solid">
        <fgColor rgb="FFFFFF00"/>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theme="9" tint="0.59999389629810485"/>
        <bgColor indexed="64"/>
      </patternFill>
    </fill>
    <fill>
      <patternFill patternType="solid">
        <fgColor rgb="FFFFC000"/>
        <bgColor indexed="64"/>
      </patternFill>
    </fill>
    <fill>
      <patternFill patternType="solid">
        <fgColor rgb="FF00B050"/>
        <bgColor indexed="64"/>
      </patternFill>
    </fill>
    <fill>
      <patternFill patternType="solid">
        <fgColor theme="0" tint="-0.14999847407452621"/>
        <bgColor indexed="64"/>
      </patternFill>
    </fill>
    <fill>
      <patternFill patternType="solid">
        <fgColor rgb="FFAEF686"/>
        <bgColor indexed="64"/>
      </patternFill>
    </fill>
    <fill>
      <patternFill patternType="solid">
        <fgColor rgb="FF7030A0"/>
        <bgColor indexed="64"/>
      </patternFill>
    </fill>
    <fill>
      <patternFill patternType="solid">
        <fgColor theme="7" tint="0.39997558519241921"/>
        <bgColor indexed="64"/>
      </patternFill>
    </fill>
    <fill>
      <patternFill patternType="solid">
        <fgColor theme="2" tint="-0.249977111117893"/>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4" fillId="0" borderId="0" applyNumberFormat="0" applyFill="0" applyBorder="0" applyAlignment="0" applyProtection="0"/>
  </cellStyleXfs>
  <cellXfs count="37">
    <xf numFmtId="0" fontId="0" fillId="0" borderId="0" xfId="0"/>
    <xf numFmtId="0" fontId="1" fillId="0" borderId="1" xfId="0" applyFont="1" applyBorder="1" applyAlignment="1">
      <alignment horizontal="center" vertical="top"/>
    </xf>
    <xf numFmtId="0" fontId="0" fillId="0" borderId="0" xfId="0" applyAlignment="1">
      <alignment wrapText="1"/>
    </xf>
    <xf numFmtId="0" fontId="2" fillId="2" borderId="0" xfId="0" applyFont="1" applyFill="1" applyAlignment="1">
      <alignment wrapText="1"/>
    </xf>
    <xf numFmtId="0" fontId="0" fillId="2" borderId="0" xfId="0" applyFill="1" applyAlignment="1">
      <alignment wrapText="1"/>
    </xf>
    <xf numFmtId="0" fontId="0" fillId="3" borderId="0" xfId="0" applyFill="1" applyAlignment="1">
      <alignment wrapText="1"/>
    </xf>
    <xf numFmtId="0" fontId="3" fillId="2" borderId="0" xfId="0" applyFont="1"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8" borderId="0" xfId="0" applyFill="1" applyAlignment="1">
      <alignment wrapText="1"/>
    </xf>
    <xf numFmtId="0" fontId="4" fillId="0" borderId="0" xfId="1" applyAlignment="1">
      <alignment wrapText="1"/>
    </xf>
    <xf numFmtId="0" fontId="3" fillId="7" borderId="0" xfId="0" applyFont="1" applyFill="1" applyAlignment="1">
      <alignment wrapText="1"/>
    </xf>
    <xf numFmtId="0" fontId="3" fillId="9" borderId="0" xfId="0" applyFont="1" applyFill="1" applyAlignment="1">
      <alignment wrapText="1"/>
    </xf>
    <xf numFmtId="0" fontId="3" fillId="10" borderId="0" xfId="0" applyFont="1" applyFill="1" applyAlignment="1">
      <alignment wrapText="1"/>
    </xf>
    <xf numFmtId="0" fontId="4" fillId="8" borderId="0" xfId="1" applyFill="1" applyAlignment="1">
      <alignment wrapText="1"/>
    </xf>
    <xf numFmtId="0" fontId="3" fillId="8" borderId="0" xfId="0" applyFont="1" applyFill="1" applyAlignment="1">
      <alignment wrapText="1"/>
    </xf>
    <xf numFmtId="0" fontId="0" fillId="8" borderId="0" xfId="0" applyFill="1"/>
    <xf numFmtId="0" fontId="3" fillId="0" borderId="0" xfId="0" applyFont="1" applyAlignment="1">
      <alignment wrapText="1"/>
    </xf>
    <xf numFmtId="0" fontId="5" fillId="0" borderId="0" xfId="0" applyFont="1" applyAlignment="1">
      <alignment horizontal="center" vertical="center" wrapText="1"/>
    </xf>
    <xf numFmtId="0" fontId="0" fillId="9" borderId="0" xfId="0" applyFill="1" applyAlignment="1">
      <alignment wrapText="1"/>
    </xf>
    <xf numFmtId="0" fontId="0" fillId="4" borderId="0" xfId="0" applyFill="1"/>
    <xf numFmtId="0" fontId="6" fillId="10" borderId="0" xfId="0" applyFont="1" applyFill="1" applyAlignment="1">
      <alignment wrapText="1"/>
    </xf>
    <xf numFmtId="0" fontId="4" fillId="4" borderId="0" xfId="1" applyFill="1" applyAlignment="1">
      <alignment wrapText="1"/>
    </xf>
    <xf numFmtId="0" fontId="3" fillId="4" borderId="0" xfId="0" applyFont="1" applyFill="1" applyAlignment="1">
      <alignment wrapText="1"/>
    </xf>
    <xf numFmtId="0" fontId="0" fillId="2" borderId="0" xfId="0" applyFill="1"/>
    <xf numFmtId="0" fontId="1" fillId="0" borderId="0" xfId="0" applyFont="1" applyAlignment="1">
      <alignment horizontal="center" vertical="top"/>
    </xf>
    <xf numFmtId="0" fontId="7" fillId="0" borderId="0" xfId="0" applyFont="1" applyAlignment="1">
      <alignment horizontal="center" vertical="top"/>
    </xf>
    <xf numFmtId="0" fontId="3" fillId="11" borderId="0" xfId="0" applyFont="1" applyFill="1" applyAlignment="1">
      <alignment wrapText="1"/>
    </xf>
    <xf numFmtId="0" fontId="8" fillId="0" borderId="0" xfId="0" applyFont="1"/>
    <xf numFmtId="0" fontId="2" fillId="0" borderId="0" xfId="0" applyFont="1"/>
    <xf numFmtId="0" fontId="2" fillId="0" borderId="0" xfId="0" applyFont="1" applyAlignment="1">
      <alignment wrapText="1"/>
    </xf>
    <xf numFmtId="0" fontId="9" fillId="0" borderId="0" xfId="0" applyFont="1" applyAlignment="1">
      <alignment horizontal="center" vertical="center" wrapText="1"/>
    </xf>
    <xf numFmtId="0" fontId="0" fillId="0" borderId="0" xfId="0" applyAlignment="1">
      <alignment vertical="center" wrapText="1"/>
    </xf>
    <xf numFmtId="0" fontId="3" fillId="0" borderId="0" xfId="0" applyFont="1"/>
    <xf numFmtId="0" fontId="3" fillId="12" borderId="0" xfId="0" applyFont="1" applyFill="1" applyAlignment="1">
      <alignment wrapText="1"/>
    </xf>
  </cellXfs>
  <cellStyles count="2">
    <cellStyle name="Link" xfId="1" builtinId="8"/>
    <cellStyle name="Standard" xfId="0" builtinId="0"/>
  </cellStyles>
  <dxfs count="0"/>
  <tableStyles count="0" defaultTableStyle="TableStyleMedium9" defaultPivotStyle="PivotStyleLight16"/>
  <colors>
    <mruColors>
      <color rgb="FFAEF68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16</xdr:col>
      <xdr:colOff>0</xdr:colOff>
      <xdr:row>9</xdr:row>
      <xdr:rowOff>0</xdr:rowOff>
    </xdr:from>
    <xdr:to>
      <xdr:col>36</xdr:col>
      <xdr:colOff>573707</xdr:colOff>
      <xdr:row>16</xdr:row>
      <xdr:rowOff>47818</xdr:rowOff>
    </xdr:to>
    <xdr:pic>
      <xdr:nvPicPr>
        <xdr:cNvPr id="2" name="Grafik 1">
          <a:extLst>
            <a:ext uri="{FF2B5EF4-FFF2-40B4-BE49-F238E27FC236}">
              <a16:creationId xmlns:a16="http://schemas.microsoft.com/office/drawing/2014/main" id="{D4FF4DB3-A40A-4B09-A849-357B71E178BE}"/>
            </a:ext>
          </a:extLst>
        </xdr:cNvPr>
        <xdr:cNvPicPr>
          <a:picLocks noChangeAspect="1"/>
        </xdr:cNvPicPr>
      </xdr:nvPicPr>
      <xdr:blipFill>
        <a:blip xmlns:r="http://schemas.openxmlformats.org/officeDocument/2006/relationships" r:embed="rId1"/>
        <a:stretch>
          <a:fillRect/>
        </a:stretch>
      </xdr:blipFill>
      <xdr:spPr>
        <a:xfrm>
          <a:off x="12192000" y="1714500"/>
          <a:ext cx="15813707" cy="1381318"/>
        </a:xfrm>
        <a:prstGeom prst="rect">
          <a:avLst/>
        </a:prstGeom>
      </xdr:spPr>
    </xdr:pic>
    <xdr:clientData/>
  </xdr:twoCellAnchor>
  <xdr:twoCellAnchor editAs="oneCell">
    <xdr:from>
      <xdr:col>16</xdr:col>
      <xdr:colOff>0</xdr:colOff>
      <xdr:row>20</xdr:row>
      <xdr:rowOff>0</xdr:rowOff>
    </xdr:from>
    <xdr:to>
      <xdr:col>35</xdr:col>
      <xdr:colOff>478337</xdr:colOff>
      <xdr:row>26</xdr:row>
      <xdr:rowOff>19212</xdr:rowOff>
    </xdr:to>
    <xdr:pic>
      <xdr:nvPicPr>
        <xdr:cNvPr id="3" name="Grafik 2">
          <a:extLst>
            <a:ext uri="{FF2B5EF4-FFF2-40B4-BE49-F238E27FC236}">
              <a16:creationId xmlns:a16="http://schemas.microsoft.com/office/drawing/2014/main" id="{0BAE5B33-166D-4EEC-ADEE-206358960F1E}"/>
            </a:ext>
          </a:extLst>
        </xdr:cNvPr>
        <xdr:cNvPicPr>
          <a:picLocks noChangeAspect="1"/>
        </xdr:cNvPicPr>
      </xdr:nvPicPr>
      <xdr:blipFill>
        <a:blip xmlns:r="http://schemas.openxmlformats.org/officeDocument/2006/relationships" r:embed="rId2"/>
        <a:stretch>
          <a:fillRect/>
        </a:stretch>
      </xdr:blipFill>
      <xdr:spPr>
        <a:xfrm>
          <a:off x="12192000" y="3810000"/>
          <a:ext cx="14956337" cy="1162212"/>
        </a:xfrm>
        <a:prstGeom prst="rect">
          <a:avLst/>
        </a:prstGeom>
      </xdr:spPr>
    </xdr:pic>
    <xdr:clientData/>
  </xdr:twoCellAnchor>
  <xdr:twoCellAnchor editAs="oneCell">
    <xdr:from>
      <xdr:col>16</xdr:col>
      <xdr:colOff>0</xdr:colOff>
      <xdr:row>29</xdr:row>
      <xdr:rowOff>0</xdr:rowOff>
    </xdr:from>
    <xdr:to>
      <xdr:col>35</xdr:col>
      <xdr:colOff>745074</xdr:colOff>
      <xdr:row>35</xdr:row>
      <xdr:rowOff>66844</xdr:rowOff>
    </xdr:to>
    <xdr:pic>
      <xdr:nvPicPr>
        <xdr:cNvPr id="4" name="Grafik 3">
          <a:extLst>
            <a:ext uri="{FF2B5EF4-FFF2-40B4-BE49-F238E27FC236}">
              <a16:creationId xmlns:a16="http://schemas.microsoft.com/office/drawing/2014/main" id="{5AEDBDB3-3211-473F-A3E9-392EE180C631}"/>
            </a:ext>
          </a:extLst>
        </xdr:cNvPr>
        <xdr:cNvPicPr>
          <a:picLocks noChangeAspect="1"/>
        </xdr:cNvPicPr>
      </xdr:nvPicPr>
      <xdr:blipFill>
        <a:blip xmlns:r="http://schemas.openxmlformats.org/officeDocument/2006/relationships" r:embed="rId3"/>
        <a:stretch>
          <a:fillRect/>
        </a:stretch>
      </xdr:blipFill>
      <xdr:spPr>
        <a:xfrm>
          <a:off x="12192000" y="5524500"/>
          <a:ext cx="15223074" cy="1209844"/>
        </a:xfrm>
        <a:prstGeom prst="rect">
          <a:avLst/>
        </a:prstGeom>
      </xdr:spPr>
    </xdr:pic>
    <xdr:clientData/>
  </xdr:twoCellAnchor>
  <xdr:twoCellAnchor editAs="oneCell">
    <xdr:from>
      <xdr:col>16</xdr:col>
      <xdr:colOff>0</xdr:colOff>
      <xdr:row>39</xdr:row>
      <xdr:rowOff>0</xdr:rowOff>
    </xdr:from>
    <xdr:to>
      <xdr:col>35</xdr:col>
      <xdr:colOff>21073</xdr:colOff>
      <xdr:row>48</xdr:row>
      <xdr:rowOff>57397</xdr:rowOff>
    </xdr:to>
    <xdr:pic>
      <xdr:nvPicPr>
        <xdr:cNvPr id="5" name="Grafik 4">
          <a:extLst>
            <a:ext uri="{FF2B5EF4-FFF2-40B4-BE49-F238E27FC236}">
              <a16:creationId xmlns:a16="http://schemas.microsoft.com/office/drawing/2014/main" id="{3191618C-43EA-4AAD-8354-EC75EFF2A10A}"/>
            </a:ext>
          </a:extLst>
        </xdr:cNvPr>
        <xdr:cNvPicPr>
          <a:picLocks noChangeAspect="1"/>
        </xdr:cNvPicPr>
      </xdr:nvPicPr>
      <xdr:blipFill>
        <a:blip xmlns:r="http://schemas.openxmlformats.org/officeDocument/2006/relationships" r:embed="rId4"/>
        <a:stretch>
          <a:fillRect/>
        </a:stretch>
      </xdr:blipFill>
      <xdr:spPr>
        <a:xfrm>
          <a:off x="12192000" y="7486650"/>
          <a:ext cx="14499073" cy="1771897"/>
        </a:xfrm>
        <a:prstGeom prst="rect">
          <a:avLst/>
        </a:prstGeom>
      </xdr:spPr>
    </xdr:pic>
    <xdr:clientData/>
  </xdr:twoCellAnchor>
  <xdr:twoCellAnchor editAs="oneCell">
    <xdr:from>
      <xdr:col>16</xdr:col>
      <xdr:colOff>0</xdr:colOff>
      <xdr:row>51</xdr:row>
      <xdr:rowOff>0</xdr:rowOff>
    </xdr:from>
    <xdr:to>
      <xdr:col>35</xdr:col>
      <xdr:colOff>449758</xdr:colOff>
      <xdr:row>56</xdr:row>
      <xdr:rowOff>162081</xdr:rowOff>
    </xdr:to>
    <xdr:pic>
      <xdr:nvPicPr>
        <xdr:cNvPr id="6" name="Grafik 5">
          <a:extLst>
            <a:ext uri="{FF2B5EF4-FFF2-40B4-BE49-F238E27FC236}">
              <a16:creationId xmlns:a16="http://schemas.microsoft.com/office/drawing/2014/main" id="{699BC892-3922-41F7-92CF-BED62EE17C35}"/>
            </a:ext>
          </a:extLst>
        </xdr:cNvPr>
        <xdr:cNvPicPr>
          <a:picLocks noChangeAspect="1"/>
        </xdr:cNvPicPr>
      </xdr:nvPicPr>
      <xdr:blipFill>
        <a:blip xmlns:r="http://schemas.openxmlformats.org/officeDocument/2006/relationships" r:embed="rId5"/>
        <a:stretch>
          <a:fillRect/>
        </a:stretch>
      </xdr:blipFill>
      <xdr:spPr>
        <a:xfrm>
          <a:off x="12192000" y="9801225"/>
          <a:ext cx="14927758" cy="111458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www.scopus.com/inward/record.uri?eid=2-s2.0-85092650992&amp;doi=10.1115%2fHT2020-9121&amp;partnerID=40&amp;md5=f73ed6836c29f3e077b7ce38a05a089d" TargetMode="External"/><Relationship Id="rId21" Type="http://schemas.openxmlformats.org/officeDocument/2006/relationships/hyperlink" Target="https://www.scopus.com/inward/record.uri?eid=2-s2.0-85123618761&amp;doi=10.1016%2fj.enbenv.2021.12.002&amp;partnerID=40&amp;md5=0c537fce90c103db58c0b312bb8db60a" TargetMode="External"/><Relationship Id="rId42" Type="http://schemas.openxmlformats.org/officeDocument/2006/relationships/hyperlink" Target="https://www.scopus.com/inward/record.uri?eid=2-s2.0-84957945984&amp;doi=10.1061%2f9780784479711.005&amp;partnerID=40&amp;md5=4d1349a0f43afe180b427577efa6d58a" TargetMode="External"/><Relationship Id="rId47" Type="http://schemas.openxmlformats.org/officeDocument/2006/relationships/hyperlink" Target="https://www.scopus.com/inward/record.uri?eid=2-s2.0-84964478859&amp;partnerID=40&amp;md5=1c7d0d14f5b53bcb164b3d5ebc394ddd" TargetMode="External"/><Relationship Id="rId63" Type="http://schemas.openxmlformats.org/officeDocument/2006/relationships/hyperlink" Target="https://www.scopus.com/inward/record.uri?eid=2-s2.0-33745761065&amp;doi=10.1002%2faic.10860&amp;partnerID=40&amp;md5=d7408ccfaf960ab949ebbaa382f76fdf" TargetMode="External"/><Relationship Id="rId68" Type="http://schemas.openxmlformats.org/officeDocument/2006/relationships/hyperlink" Target="https://www.scopus.com/inward/record.uri?eid=2-s2.0-56249135879&amp;partnerID=40&amp;md5=6ae4808085213556f86fe2c1c92d0993" TargetMode="External"/><Relationship Id="rId16" Type="http://schemas.openxmlformats.org/officeDocument/2006/relationships/hyperlink" Target="https://www.scopus.com/inward/record.uri?eid=2-s2.0-85202175621&amp;doi=10.1007%2f978-3-031-67576-8_2&amp;partnerID=40&amp;md5=7a37f1420b87ffc825473809897f1920" TargetMode="External"/><Relationship Id="rId11" Type="http://schemas.openxmlformats.org/officeDocument/2006/relationships/hyperlink" Target="https://www.scopus.com/inward/record.uri?eid=2-s2.0-85068159297&amp;partnerID=40&amp;md5=ea0b61a5cf89961d35b9c3feda883c53" TargetMode="External"/><Relationship Id="rId24" Type="http://schemas.openxmlformats.org/officeDocument/2006/relationships/hyperlink" Target="https://www.scopus.com/inward/record.uri?eid=2-s2.0-85134585188&amp;doi=10.1016%2fj.buildenv.2022.109393&amp;partnerID=40&amp;md5=ee46dba9c0c602ff263293c61fb6eec7" TargetMode="External"/><Relationship Id="rId32" Type="http://schemas.openxmlformats.org/officeDocument/2006/relationships/hyperlink" Target="https://www.scopus.com/inward/record.uri?eid=2-s2.0-85033398661&amp;doi=10.1016%2fj.egypro.2017.10.024&amp;partnerID=40&amp;md5=f4edbdd1332926ba1f34e05ccaf19d8e" TargetMode="External"/><Relationship Id="rId37" Type="http://schemas.openxmlformats.org/officeDocument/2006/relationships/hyperlink" Target="https://www.scopus.com/inward/record.uri?eid=2-s2.0-85016991485&amp;doi=10.1002%2fbapi.201710017&amp;partnerID=40&amp;md5=0c90258173f634e90ceb4da6610c6be6" TargetMode="External"/><Relationship Id="rId40" Type="http://schemas.openxmlformats.org/officeDocument/2006/relationships/hyperlink" Target="https://www.scopus.com/inward/record.uri?eid=2-s2.0-84951919970&amp;doi=10.1016%2fj.ijheatmasstransfer.2015.12.030&amp;partnerID=40&amp;md5=bcbe0fac2b4ec85c543321957812b52c" TargetMode="External"/><Relationship Id="rId45" Type="http://schemas.openxmlformats.org/officeDocument/2006/relationships/hyperlink" Target="https://www.scopus.com/inward/record.uri?eid=2-s2.0-84926246720&amp;doi=10.1080%2f19401493.2014.899733&amp;partnerID=40&amp;md5=58b90c42fbbcefc4b3dd49a79c8fb0bc" TargetMode="External"/><Relationship Id="rId53" Type="http://schemas.openxmlformats.org/officeDocument/2006/relationships/hyperlink" Target="https://www.scopus.com/inward/record.uri?eid=2-s2.0-76449109176&amp;doi=10.1177%2f1744259109351441&amp;partnerID=40&amp;md5=47eb82e69c242473bf2af40186232347" TargetMode="External"/><Relationship Id="rId58" Type="http://schemas.openxmlformats.org/officeDocument/2006/relationships/hyperlink" Target="https://www.scopus.com/inward/record.uri?eid=2-s2.0-85043158698&amp;partnerID=40&amp;md5=36d867d67a21383ba333d2346268216e" TargetMode="External"/><Relationship Id="rId66" Type="http://schemas.openxmlformats.org/officeDocument/2006/relationships/hyperlink" Target="https://www.scopus.com/inward/record.uri?eid=2-s2.0-85090808433&amp;partnerID=40&amp;md5=89c34fce10cf7ac8ee960365f1288952" TargetMode="External"/><Relationship Id="rId74" Type="http://schemas.openxmlformats.org/officeDocument/2006/relationships/hyperlink" Target="https://www.scopus.com/inward/record.uri?eid=2-s2.0-0022247760&amp;partnerID=40&amp;md5=0d5f8e1945a55de8c6b261754b4c4d01" TargetMode="External"/><Relationship Id="rId79" Type="http://schemas.openxmlformats.org/officeDocument/2006/relationships/printerSettings" Target="../printerSettings/printerSettings1.bin"/><Relationship Id="rId5" Type="http://schemas.openxmlformats.org/officeDocument/2006/relationships/hyperlink" Target="https://www.scopus.com/inward/record.uri?eid=2-s2.0-79951944869&amp;doi=10.1080%2f19401493.2010.532568&amp;partnerID=40&amp;md5=d8f4daa9ba2e7ee56c6af0d9d541c0fc" TargetMode="External"/><Relationship Id="rId61" Type="http://schemas.openxmlformats.org/officeDocument/2006/relationships/hyperlink" Target="https://www.scopus.com/inward/record.uri?eid=2-s2.0-85103050051&amp;partnerID=40&amp;md5=2229799484a959850e6ead8895669e13" TargetMode="External"/><Relationship Id="rId19" Type="http://schemas.openxmlformats.org/officeDocument/2006/relationships/hyperlink" Target="https://www.scopus.com/inward/record.uri?eid=2-s2.0-85199752135&amp;doi=10.1016%2fj.jobe.2024.110308&amp;partnerID=40&amp;md5=816da0ea153786202b881577f80bf27e" TargetMode="External"/><Relationship Id="rId14" Type="http://schemas.openxmlformats.org/officeDocument/2006/relationships/hyperlink" Target="https://www.scopus.com/inward/record.uri?eid=2-s2.0-85103036696&amp;partnerID=40&amp;md5=78b0546c3b9f1be3847212ffdaff8f13" TargetMode="External"/><Relationship Id="rId22" Type="http://schemas.openxmlformats.org/officeDocument/2006/relationships/hyperlink" Target="https://www.scopus.com/inward/record.uri?eid=2-s2.0-85159682464&amp;doi=10.1016%2fj.rser.2023.113327&amp;partnerID=40&amp;md5=9113b6ec26cde00ab52d7a40b44f0a52" TargetMode="External"/><Relationship Id="rId27" Type="http://schemas.openxmlformats.org/officeDocument/2006/relationships/hyperlink" Target="https://www.scopus.com/inward/record.uri?eid=2-s2.0-85073536765&amp;doi=10.1002%2fbapi.201900022&amp;partnerID=40&amp;md5=2d8e8c0286123df72295b790008d295d" TargetMode="External"/><Relationship Id="rId30" Type="http://schemas.openxmlformats.org/officeDocument/2006/relationships/hyperlink" Target="https://www.scopus.com/inward/record.uri?eid=2-s2.0-85057551475&amp;doi=10.1016%2fj.buildenv.2018.10.060&amp;partnerID=40&amp;md5=65e32ed7dd3cb3c25dc763a3ca738c37" TargetMode="External"/><Relationship Id="rId35" Type="http://schemas.openxmlformats.org/officeDocument/2006/relationships/hyperlink" Target="https://www.scopus.com/inward/record.uri?eid=2-s2.0-85033366635&amp;doi=10.1016%2fj.egypro.2017.09.710&amp;partnerID=40&amp;md5=adfbc8f75327865a4fa573d270303b58" TargetMode="External"/><Relationship Id="rId43" Type="http://schemas.openxmlformats.org/officeDocument/2006/relationships/hyperlink" Target="https://www.scopus.com/inward/record.uri?eid=2-s2.0-84930460790&amp;doi=10.1177%2f1744259114527807&amp;partnerID=40&amp;md5=8075bcf3c69229fc62f2a960abb44bee" TargetMode="External"/><Relationship Id="rId48" Type="http://schemas.openxmlformats.org/officeDocument/2006/relationships/hyperlink" Target="https://www.scopus.com/inward/record.uri?eid=2-s2.0-84876795906&amp;doi=10.1177%2f1744259112473934&amp;partnerID=40&amp;md5=705bb9fc248548d5fe5b299a43b849b3" TargetMode="External"/><Relationship Id="rId56" Type="http://schemas.openxmlformats.org/officeDocument/2006/relationships/hyperlink" Target="https://www.scopus.com/inward/record.uri?eid=2-s2.0-84869762758&amp;partnerID=40&amp;md5=d74319df849dfeb265bdbcaeae29a6fd" TargetMode="External"/><Relationship Id="rId64" Type="http://schemas.openxmlformats.org/officeDocument/2006/relationships/hyperlink" Target="https://www.scopus.com/inward/record.uri?eid=2-s2.0-84962382822&amp;partnerID=40&amp;md5=02affb3f02d3c54847b38be43fb81e7a" TargetMode="External"/><Relationship Id="rId69" Type="http://schemas.openxmlformats.org/officeDocument/2006/relationships/hyperlink" Target="https://www.scopus.com/inward/record.uri?eid=2-s2.0-9644279876&amp;partnerID=40&amp;md5=6929aa863efd93a0acd4f44707ac82da" TargetMode="External"/><Relationship Id="rId77" Type="http://schemas.openxmlformats.org/officeDocument/2006/relationships/hyperlink" Target="https://www.scopus.com/inward/record.uri?eid=2-s2.0-105021212337&amp;doi=10.1007%2f978-3-032-09054-6_25&amp;partnerID=40&amp;md5=09987f58591fc117a6bff1741040f76c" TargetMode="External"/><Relationship Id="rId8" Type="http://schemas.openxmlformats.org/officeDocument/2006/relationships/hyperlink" Target="https://www.scopus.com/inward/record.uri?eid=2-s2.0-77952532602&amp;doi=10.1520%2fstp48942s&amp;partnerID=40&amp;md5=7287fa5771a75cfb731450fa652ca8b4" TargetMode="External"/><Relationship Id="rId51" Type="http://schemas.openxmlformats.org/officeDocument/2006/relationships/hyperlink" Target="https://www.scopus.com/inward/record.uri?eid=2-s2.0-84856030051&amp;doi=10.1177%2f1744259111423085&amp;partnerID=40&amp;md5=6b5498b6ae96c1a2d5245a9cbad6d9f1" TargetMode="External"/><Relationship Id="rId72" Type="http://schemas.openxmlformats.org/officeDocument/2006/relationships/hyperlink" Target="https://www.scopus.com/inward/record.uri?eid=2-s2.0-0025844107&amp;partnerID=40&amp;md5=8e4c11cb70cfad69192d6afdd77bb3bc" TargetMode="External"/><Relationship Id="rId3" Type="http://schemas.openxmlformats.org/officeDocument/2006/relationships/hyperlink" Target="https://www.scopus.com/inward/record.uri?eid=2-s2.0-82055194145&amp;doi=10.1016%2fj.buildenv.2011.10.021&amp;partnerID=40&amp;md5=0542959125cd74a5e318ec63035f5832" TargetMode="External"/><Relationship Id="rId12" Type="http://schemas.openxmlformats.org/officeDocument/2006/relationships/hyperlink" Target="https://www.scopus.com/inward/record.uri?eid=2-s2.0-12344303541&amp;doi=10.1177%2f1097196305048597&amp;partnerID=40&amp;md5=4676dc95e8838926f5f70bd3c01a33db" TargetMode="External"/><Relationship Id="rId17" Type="http://schemas.openxmlformats.org/officeDocument/2006/relationships/hyperlink" Target="https://www.scopus.com/inward/record.uri?eid=2-s2.0-85211135029&amp;doi=10.1016%2fj.jobe.2024.111500&amp;partnerID=40&amp;md5=39d7eb7d95c70edfeb0bba0173cdc7f4" TargetMode="External"/><Relationship Id="rId25" Type="http://schemas.openxmlformats.org/officeDocument/2006/relationships/hyperlink" Target="https://www.scopus.com/inward/record.uri?eid=2-s2.0-85121448930&amp;doi=10.1088%2f1742-6596%2f2069%2f1%2f012094&amp;partnerID=40&amp;md5=77b1d20f85a28f3d8e9b80b47ba11404" TargetMode="External"/><Relationship Id="rId33" Type="http://schemas.openxmlformats.org/officeDocument/2006/relationships/hyperlink" Target="https://www.scopus.com/inward/record.uri?eid=2-s2.0-85033398009&amp;doi=10.1016%2fj.egypro.2017.09.673&amp;partnerID=40&amp;md5=64b179cd06bfd83716ebf76ff6dc26f8" TargetMode="External"/><Relationship Id="rId38" Type="http://schemas.openxmlformats.org/officeDocument/2006/relationships/hyperlink" Target="https://www.scopus.com/inward/record.uri?eid=2-s2.0-85053709274&amp;partnerID=40&amp;md5=cf2aa144902df1f641b598258c15f53f" TargetMode="External"/><Relationship Id="rId46" Type="http://schemas.openxmlformats.org/officeDocument/2006/relationships/hyperlink" Target="https://www.scopus.com/inward/record.uri?eid=2-s2.0-84945308837&amp;doi=10.1016%2fj.buildenv.2015.10.009&amp;partnerID=40&amp;md5=cdf4ee1a73c374086b1298f6a4fec264" TargetMode="External"/><Relationship Id="rId59" Type="http://schemas.openxmlformats.org/officeDocument/2006/relationships/hyperlink" Target="https://www.scopus.com/inward/record.uri?eid=2-s2.0-84916911211&amp;partnerID=40&amp;md5=3d308be30095ee0c7f0368485520337a" TargetMode="External"/><Relationship Id="rId67" Type="http://schemas.openxmlformats.org/officeDocument/2006/relationships/hyperlink" Target="https://www.scopus.com/inward/record.uri?eid=2-s2.0-0343090769&amp;doi=10.1016%2fS0378-7788%2898%2900031-0&amp;partnerID=40&amp;md5=8a936dfa790d95a59fe328300c56978a" TargetMode="External"/><Relationship Id="rId20" Type="http://schemas.openxmlformats.org/officeDocument/2006/relationships/hyperlink" Target="https://www.scopus.com/inward/record.uri?eid=2-s2.0-85194198537&amp;doi=10.1016%2fj.ijthermalsci.2024.109169&amp;partnerID=40&amp;md5=d84cf0e0d08c90105cdfef54d4956740" TargetMode="External"/><Relationship Id="rId41" Type="http://schemas.openxmlformats.org/officeDocument/2006/relationships/hyperlink" Target="https://www.scopus.com/inward/record.uri?eid=2-s2.0-84979985991&amp;doi=10.1002%2fbapi.201610019&amp;partnerID=40&amp;md5=f22fbda5ce2a6390de455f220a68fe28" TargetMode="External"/><Relationship Id="rId54" Type="http://schemas.openxmlformats.org/officeDocument/2006/relationships/hyperlink" Target="https://www.scopus.com/inward/record.uri?eid=2-s2.0-76449097538&amp;doi=10.1177%2f1744259109343502&amp;partnerID=40&amp;md5=6523114b0e92b91141cc54dec3c8b360" TargetMode="External"/><Relationship Id="rId62" Type="http://schemas.openxmlformats.org/officeDocument/2006/relationships/hyperlink" Target="https://www.scopus.com/inward/record.uri?eid=2-s2.0-85103059967&amp;partnerID=40&amp;md5=ab671ca5bced7579d787808d9b30b0ac" TargetMode="External"/><Relationship Id="rId70" Type="http://schemas.openxmlformats.org/officeDocument/2006/relationships/hyperlink" Target="https://www.scopus.com/inward/record.uri?eid=2-s2.0-0029376496&amp;doi=10.1520%2fstp14695s&amp;partnerID=40&amp;md5=15a9a81c101b5a563a9d21c043428fdc" TargetMode="External"/><Relationship Id="rId75" Type="http://schemas.openxmlformats.org/officeDocument/2006/relationships/hyperlink" Target="https://www.scopus.com/inward/record.uri?eid=2-s2.0-49949100577&amp;partnerID=40&amp;md5=9dc9aa3e540a01b19567158fd42bb105" TargetMode="External"/><Relationship Id="rId1" Type="http://schemas.openxmlformats.org/officeDocument/2006/relationships/hyperlink" Target="https://www.scopus.com/inward/record.uri?eid=2-s2.0-85054018479&amp;doi=10.1016%2fj.buildenv.2018.09.032&amp;partnerID=40&amp;md5=0d452a5b47818d4e3de8ff398a6fe918" TargetMode="External"/><Relationship Id="rId6" Type="http://schemas.openxmlformats.org/officeDocument/2006/relationships/hyperlink" Target="https://www.scopus.com/inward/record.uri?eid=2-s2.0-84875020110&amp;doi=10.1088%2f1742-6596%2f395%2f1%2f012142&amp;partnerID=40&amp;md5=2dbb5f134aaa33889c652660f4247d1b" TargetMode="External"/><Relationship Id="rId15" Type="http://schemas.openxmlformats.org/officeDocument/2006/relationships/hyperlink" Target="https://www.scopus.com/inward/record.uri?eid=2-s2.0-85030983909&amp;partnerID=40&amp;md5=d5e9289542fdf6b1e0c381343379b14b" TargetMode="External"/><Relationship Id="rId23" Type="http://schemas.openxmlformats.org/officeDocument/2006/relationships/hyperlink" Target="https://www.scopus.com/inward/record.uri?eid=2-s2.0-85159939316&amp;doi=10.14311%2fAPP.2022.38.0347&amp;partnerID=40&amp;md5=7aed82f8aa7bfb8971cc6c94a7522aa6" TargetMode="External"/><Relationship Id="rId28" Type="http://schemas.openxmlformats.org/officeDocument/2006/relationships/hyperlink" Target="https://www.scopus.com/inward/record.uri?eid=2-s2.0-85068112129&amp;doi=10.1108%2fIJBPA-09-2018-0075&amp;partnerID=40&amp;md5=34b5bd4842ea10a49e94cc4454f26845" TargetMode="External"/><Relationship Id="rId36" Type="http://schemas.openxmlformats.org/officeDocument/2006/relationships/hyperlink" Target="https://www.scopus.com/inward/record.uri?eid=2-s2.0-85033371663&amp;doi=10.1016%2fj.proeng.2017.10.016&amp;partnerID=40&amp;md5=fc8cd07b61a2ea819f253b81dd8bf949" TargetMode="External"/><Relationship Id="rId49" Type="http://schemas.openxmlformats.org/officeDocument/2006/relationships/hyperlink" Target="https://www.scopus.com/inward/record.uri?eid=2-s2.0-84943011771&amp;doi=10.1016%2fj.foar.2012.12.003&amp;partnerID=40&amp;md5=2f6b4cb98e90a678278091870597fb43" TargetMode="External"/><Relationship Id="rId57" Type="http://schemas.openxmlformats.org/officeDocument/2006/relationships/hyperlink" Target="https://www.scopus.com/inward/record.uri?eid=2-s2.0-34548309007&amp;doi=10.1016%2fj.enbuild.2006.12.004&amp;partnerID=40&amp;md5=85c4ee723a657ff5f53212d1310f55e7" TargetMode="External"/><Relationship Id="rId10" Type="http://schemas.openxmlformats.org/officeDocument/2006/relationships/hyperlink" Target="https://www.scopus.com/inward/record.uri?eid=2-s2.0-59049084862&amp;doi=10.1016%2fj.buildenv.2008.07.017&amp;partnerID=40&amp;md5=e0a594ab88cd0028f3a4039739b39b49" TargetMode="External"/><Relationship Id="rId31" Type="http://schemas.openxmlformats.org/officeDocument/2006/relationships/hyperlink" Target="https://www.scopus.com/inward/record.uri?eid=2-s2.0-85024095348&amp;doi=10.1016%2fj.buildenv.2017.07.012&amp;partnerID=40&amp;md5=b1bfff8c38ff3193176d8db1277332b8" TargetMode="External"/><Relationship Id="rId44" Type="http://schemas.openxmlformats.org/officeDocument/2006/relationships/hyperlink" Target="https://www.scopus.com/inward/record.uri?eid=2-s2.0-84962544870&amp;doi=10.1016%2fj.egypro.2015.11.618&amp;partnerID=40&amp;md5=d10b3445837aebbc4b9c6c8b6ca3758d" TargetMode="External"/><Relationship Id="rId52" Type="http://schemas.openxmlformats.org/officeDocument/2006/relationships/hyperlink" Target="https://www.scopus.com/inward/record.uri?eid=2-s2.0-84926516591&amp;partnerID=40&amp;md5=52486c235072647c8be21eb85e9db440" TargetMode="External"/><Relationship Id="rId60" Type="http://schemas.openxmlformats.org/officeDocument/2006/relationships/hyperlink" Target="https://www.scopus.com/inward/record.uri?eid=2-s2.0-85102993957&amp;partnerID=40&amp;md5=6905e2ee8442d2e9ba21bc1e0f9e9583" TargetMode="External"/><Relationship Id="rId65" Type="http://schemas.openxmlformats.org/officeDocument/2006/relationships/hyperlink" Target="https://www.scopus.com/inward/record.uri?eid=2-s2.0-0037696626&amp;partnerID=40&amp;md5=091ce7ea22fd0b5a7de18d02301872d1" TargetMode="External"/><Relationship Id="rId73" Type="http://schemas.openxmlformats.org/officeDocument/2006/relationships/hyperlink" Target="https://www.scopus.com/inward/record.uri?eid=2-s2.0-0024859747&amp;partnerID=40&amp;md5=b8b5de23e16252849aa418a71fcabe0c" TargetMode="External"/><Relationship Id="rId78" Type="http://schemas.openxmlformats.org/officeDocument/2006/relationships/hyperlink" Target="https://www.scopus.com/inward/record.uri?eid=2-s2.0-34347220639&amp;partnerID=40&amp;md5=1b85bca8a473e5a23e5026571c390e02" TargetMode="External"/><Relationship Id="rId4" Type="http://schemas.openxmlformats.org/officeDocument/2006/relationships/hyperlink" Target="https://www.scopus.com/inward/record.uri?eid=2-s2.0-84864912438&amp;doi=10.1016%2fj.buildenv.2012.07.011&amp;partnerID=40&amp;md5=38ddd5287496d578c1f1acee80f787f4" TargetMode="External"/><Relationship Id="rId9" Type="http://schemas.openxmlformats.org/officeDocument/2006/relationships/hyperlink" Target="https://www.scopus.com/inward/record.uri?eid=2-s2.0-61449237436&amp;doi=10.1080%2f09613210802645973&amp;partnerID=40&amp;md5=db7f8a62171e0ca4a53a8d67a2e9c141" TargetMode="External"/><Relationship Id="rId13" Type="http://schemas.openxmlformats.org/officeDocument/2006/relationships/hyperlink" Target="https://www.scopus.com/inward/record.uri?eid=2-s2.0-0032654174&amp;doi=10.1520%2fstp13329s&amp;partnerID=40&amp;md5=560df4438bb28ff6bfcad5c94d1a1917" TargetMode="External"/><Relationship Id="rId18" Type="http://schemas.openxmlformats.org/officeDocument/2006/relationships/hyperlink" Target="https://www.scopus.com/inward/record.uri?eid=2-s2.0-85201227441&amp;doi=10.1016%2fj.buildenv.2024.111937&amp;partnerID=40&amp;md5=c19da8f50f0e8e2b78c123b5ad0b453a" TargetMode="External"/><Relationship Id="rId39" Type="http://schemas.openxmlformats.org/officeDocument/2006/relationships/hyperlink" Target="https://www.scopus.com/inward/record.uri?eid=2-s2.0-85024127442&amp;partnerID=40&amp;md5=be5795b932d1ee53dd33640913c63c4c" TargetMode="External"/><Relationship Id="rId34" Type="http://schemas.openxmlformats.org/officeDocument/2006/relationships/hyperlink" Target="https://www.scopus.com/inward/record.uri?eid=2-s2.0-85029611758&amp;doi=10.1177%2f1744259116673983&amp;partnerID=40&amp;md5=1566179a333369c58afe665d10f054e8" TargetMode="External"/><Relationship Id="rId50" Type="http://schemas.openxmlformats.org/officeDocument/2006/relationships/hyperlink" Target="https://www.scopus.com/inward/record.uri?eid=2-s2.0-84880054095&amp;doi=10.1016%2fj.enbuild.2013.05.050&amp;partnerID=40&amp;md5=1c8c032081bca8f3bba5a10a8a519e9f" TargetMode="External"/><Relationship Id="rId55" Type="http://schemas.openxmlformats.org/officeDocument/2006/relationships/hyperlink" Target="https://www.scopus.com/inward/record.uri?eid=2-s2.0-84872659076&amp;partnerID=40&amp;md5=37f4caf42ad172c14485192637c6e764" TargetMode="External"/><Relationship Id="rId76" Type="http://schemas.openxmlformats.org/officeDocument/2006/relationships/hyperlink" Target="https://www.scopus.com/inward/record.uri?eid=2-s2.0-84912552053&amp;doi=10.1016%2fj.enbuild.2014.11.038&amp;partnerID=40&amp;md5=92885590af3c5f3f3a7097018f4d2024" TargetMode="External"/><Relationship Id="rId7" Type="http://schemas.openxmlformats.org/officeDocument/2006/relationships/hyperlink" Target="https://www.scopus.com/inward/record.uri?eid=2-s2.0-84866306086&amp;partnerID=40&amp;md5=14e4fdcead9cdc6e70a2cfe07c43581d" TargetMode="External"/><Relationship Id="rId71" Type="http://schemas.openxmlformats.org/officeDocument/2006/relationships/hyperlink" Target="https://www.scopus.com/inward/record.uri?eid=2-s2.0-0029226946&amp;partnerID=40&amp;md5=fcc805ebdaf69b3c375702fc4f19e372" TargetMode="External"/><Relationship Id="rId2" Type="http://schemas.openxmlformats.org/officeDocument/2006/relationships/hyperlink" Target="https://www.scopus.com/inward/record.uri?eid=2-s2.0-84870774091&amp;doi=10.1080%2f14733315.2012.11683988&amp;partnerID=40&amp;md5=fcdc7c120e1aa6c339a615749d10e90f" TargetMode="External"/><Relationship Id="rId29" Type="http://schemas.openxmlformats.org/officeDocument/2006/relationships/hyperlink" Target="https://www.scopus.com/inward/record.uri?eid=2-s2.0-85073065903&amp;doi=10.1016%2fj.enbuild.2019.109418&amp;partnerID=40&amp;md5=27c54ce579eb392c706bf5e8300692ea"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6" Type="http://schemas.openxmlformats.org/officeDocument/2006/relationships/hyperlink" Target="https://www.scopus.com/inward/record.uri?eid=2-s2.0-85092650992&amp;doi=10.1115%2fHT2020-9121&amp;partnerID=40&amp;md5=f73ed6836c29f3e077b7ce38a05a089d" TargetMode="External"/><Relationship Id="rId21" Type="http://schemas.openxmlformats.org/officeDocument/2006/relationships/hyperlink" Target="https://www.scopus.com/inward/record.uri?eid=2-s2.0-85123618761&amp;doi=10.1016%2fj.enbenv.2021.12.002&amp;partnerID=40&amp;md5=0c537fce90c103db58c0b312bb8db60a" TargetMode="External"/><Relationship Id="rId42" Type="http://schemas.openxmlformats.org/officeDocument/2006/relationships/hyperlink" Target="https://www.scopus.com/inward/record.uri?eid=2-s2.0-84957945984&amp;doi=10.1061%2f9780784479711.005&amp;partnerID=40&amp;md5=4d1349a0f43afe180b427577efa6d58a" TargetMode="External"/><Relationship Id="rId47" Type="http://schemas.openxmlformats.org/officeDocument/2006/relationships/hyperlink" Target="https://www.scopus.com/inward/record.uri?eid=2-s2.0-84964478859&amp;partnerID=40&amp;md5=1c7d0d14f5b53bcb164b3d5ebc394ddd" TargetMode="External"/><Relationship Id="rId63" Type="http://schemas.openxmlformats.org/officeDocument/2006/relationships/hyperlink" Target="https://www.scopus.com/inward/record.uri?eid=2-s2.0-33745761065&amp;doi=10.1002%2faic.10860&amp;partnerID=40&amp;md5=d7408ccfaf960ab949ebbaa382f76fdf" TargetMode="External"/><Relationship Id="rId68" Type="http://schemas.openxmlformats.org/officeDocument/2006/relationships/hyperlink" Target="https://www.scopus.com/inward/record.uri?eid=2-s2.0-56249135879&amp;partnerID=40&amp;md5=6ae4808085213556f86fe2c1c92d0993" TargetMode="External"/><Relationship Id="rId16" Type="http://schemas.openxmlformats.org/officeDocument/2006/relationships/hyperlink" Target="https://www.scopus.com/inward/record.uri?eid=2-s2.0-85202175621&amp;doi=10.1007%2f978-3-031-67576-8_2&amp;partnerID=40&amp;md5=7a37f1420b87ffc825473809897f1920" TargetMode="External"/><Relationship Id="rId11" Type="http://schemas.openxmlformats.org/officeDocument/2006/relationships/hyperlink" Target="https://www.scopus.com/inward/record.uri?eid=2-s2.0-85068159297&amp;partnerID=40&amp;md5=ea0b61a5cf89961d35b9c3feda883c53" TargetMode="External"/><Relationship Id="rId24" Type="http://schemas.openxmlformats.org/officeDocument/2006/relationships/hyperlink" Target="https://www.scopus.com/inward/record.uri?eid=2-s2.0-85134585188&amp;doi=10.1016%2fj.buildenv.2022.109393&amp;partnerID=40&amp;md5=ee46dba9c0c602ff263293c61fb6eec7" TargetMode="External"/><Relationship Id="rId32" Type="http://schemas.openxmlformats.org/officeDocument/2006/relationships/hyperlink" Target="https://www.scopus.com/inward/record.uri?eid=2-s2.0-85033398661&amp;doi=10.1016%2fj.egypro.2017.10.024&amp;partnerID=40&amp;md5=f4edbdd1332926ba1f34e05ccaf19d8e" TargetMode="External"/><Relationship Id="rId37" Type="http://schemas.openxmlformats.org/officeDocument/2006/relationships/hyperlink" Target="https://www.scopus.com/inward/record.uri?eid=2-s2.0-85016991485&amp;doi=10.1002%2fbapi.201710017&amp;partnerID=40&amp;md5=0c90258173f634e90ceb4da6610c6be6" TargetMode="External"/><Relationship Id="rId40" Type="http://schemas.openxmlformats.org/officeDocument/2006/relationships/hyperlink" Target="https://www.scopus.com/inward/record.uri?eid=2-s2.0-84951919970&amp;doi=10.1016%2fj.ijheatmasstransfer.2015.12.030&amp;partnerID=40&amp;md5=bcbe0fac2b4ec85c543321957812b52c" TargetMode="External"/><Relationship Id="rId45" Type="http://schemas.openxmlformats.org/officeDocument/2006/relationships/hyperlink" Target="https://www.scopus.com/inward/record.uri?eid=2-s2.0-84926246720&amp;doi=10.1080%2f19401493.2014.899733&amp;partnerID=40&amp;md5=58b90c42fbbcefc4b3dd49a79c8fb0bc" TargetMode="External"/><Relationship Id="rId53" Type="http://schemas.openxmlformats.org/officeDocument/2006/relationships/hyperlink" Target="https://www.scopus.com/inward/record.uri?eid=2-s2.0-76449109176&amp;doi=10.1177%2f1744259109351441&amp;partnerID=40&amp;md5=47eb82e69c242473bf2af40186232347" TargetMode="External"/><Relationship Id="rId58" Type="http://schemas.openxmlformats.org/officeDocument/2006/relationships/hyperlink" Target="https://www.scopus.com/inward/record.uri?eid=2-s2.0-85043158698&amp;partnerID=40&amp;md5=36d867d67a21383ba333d2346268216e" TargetMode="External"/><Relationship Id="rId66" Type="http://schemas.openxmlformats.org/officeDocument/2006/relationships/hyperlink" Target="https://www.scopus.com/inward/record.uri?eid=2-s2.0-85090808433&amp;partnerID=40&amp;md5=89c34fce10cf7ac8ee960365f1288952" TargetMode="External"/><Relationship Id="rId74" Type="http://schemas.openxmlformats.org/officeDocument/2006/relationships/hyperlink" Target="https://www.scopus.com/inward/record.uri?eid=2-s2.0-0022247760&amp;partnerID=40&amp;md5=0d5f8e1945a55de8c6b261754b4c4d01" TargetMode="External"/><Relationship Id="rId5" Type="http://schemas.openxmlformats.org/officeDocument/2006/relationships/hyperlink" Target="https://www.scopus.com/inward/record.uri?eid=2-s2.0-79951944869&amp;doi=10.1080%2f19401493.2010.532568&amp;partnerID=40&amp;md5=d8f4daa9ba2e7ee56c6af0d9d541c0fc" TargetMode="External"/><Relationship Id="rId61" Type="http://schemas.openxmlformats.org/officeDocument/2006/relationships/hyperlink" Target="https://www.scopus.com/inward/record.uri?eid=2-s2.0-85103050051&amp;partnerID=40&amp;md5=2229799484a959850e6ead8895669e13" TargetMode="External"/><Relationship Id="rId19" Type="http://schemas.openxmlformats.org/officeDocument/2006/relationships/hyperlink" Target="https://www.scopus.com/inward/record.uri?eid=2-s2.0-85199752135&amp;doi=10.1016%2fj.jobe.2024.110308&amp;partnerID=40&amp;md5=816da0ea153786202b881577f80bf27e" TargetMode="External"/><Relationship Id="rId14" Type="http://schemas.openxmlformats.org/officeDocument/2006/relationships/hyperlink" Target="https://www.scopus.com/inward/record.uri?eid=2-s2.0-85103036696&amp;partnerID=40&amp;md5=78b0546c3b9f1be3847212ffdaff8f13" TargetMode="External"/><Relationship Id="rId22" Type="http://schemas.openxmlformats.org/officeDocument/2006/relationships/hyperlink" Target="https://www.scopus.com/inward/record.uri?eid=2-s2.0-85159682464&amp;doi=10.1016%2fj.rser.2023.113327&amp;partnerID=40&amp;md5=9113b6ec26cde00ab52d7a40b44f0a52" TargetMode="External"/><Relationship Id="rId27" Type="http://schemas.openxmlformats.org/officeDocument/2006/relationships/hyperlink" Target="https://www.scopus.com/inward/record.uri?eid=2-s2.0-85073536765&amp;doi=10.1002%2fbapi.201900022&amp;partnerID=40&amp;md5=2d8e8c0286123df72295b790008d295d" TargetMode="External"/><Relationship Id="rId30" Type="http://schemas.openxmlformats.org/officeDocument/2006/relationships/hyperlink" Target="https://www.scopus.com/inward/record.uri?eid=2-s2.0-85057551475&amp;doi=10.1016%2fj.buildenv.2018.10.060&amp;partnerID=40&amp;md5=65e32ed7dd3cb3c25dc763a3ca738c37" TargetMode="External"/><Relationship Id="rId35" Type="http://schemas.openxmlformats.org/officeDocument/2006/relationships/hyperlink" Target="https://www.scopus.com/inward/record.uri?eid=2-s2.0-85033366635&amp;doi=10.1016%2fj.egypro.2017.09.710&amp;partnerID=40&amp;md5=adfbc8f75327865a4fa573d270303b58" TargetMode="External"/><Relationship Id="rId43" Type="http://schemas.openxmlformats.org/officeDocument/2006/relationships/hyperlink" Target="https://www.scopus.com/inward/record.uri?eid=2-s2.0-84930460790&amp;doi=10.1177%2f1744259114527807&amp;partnerID=40&amp;md5=8075bcf3c69229fc62f2a960abb44bee" TargetMode="External"/><Relationship Id="rId48" Type="http://schemas.openxmlformats.org/officeDocument/2006/relationships/hyperlink" Target="https://www.scopus.com/inward/record.uri?eid=2-s2.0-84876795906&amp;doi=10.1177%2f1744259112473934&amp;partnerID=40&amp;md5=705bb9fc248548d5fe5b299a43b849b3" TargetMode="External"/><Relationship Id="rId56" Type="http://schemas.openxmlformats.org/officeDocument/2006/relationships/hyperlink" Target="https://www.scopus.com/inward/record.uri?eid=2-s2.0-84869762758&amp;partnerID=40&amp;md5=d74319df849dfeb265bdbcaeae29a6fd" TargetMode="External"/><Relationship Id="rId64" Type="http://schemas.openxmlformats.org/officeDocument/2006/relationships/hyperlink" Target="https://www.scopus.com/inward/record.uri?eid=2-s2.0-84962382822&amp;partnerID=40&amp;md5=02affb3f02d3c54847b38be43fb81e7a" TargetMode="External"/><Relationship Id="rId69" Type="http://schemas.openxmlformats.org/officeDocument/2006/relationships/hyperlink" Target="https://www.scopus.com/inward/record.uri?eid=2-s2.0-9644279876&amp;partnerID=40&amp;md5=6929aa863efd93a0acd4f44707ac82da" TargetMode="External"/><Relationship Id="rId77" Type="http://schemas.openxmlformats.org/officeDocument/2006/relationships/hyperlink" Target="https://www.scopus.com/inward/record.uri?eid=2-s2.0-105021212337&amp;doi=10.1007%2f978-3-032-09054-6_25&amp;partnerID=40&amp;md5=09987f58591fc117a6bff1741040f76c" TargetMode="External"/><Relationship Id="rId8" Type="http://schemas.openxmlformats.org/officeDocument/2006/relationships/hyperlink" Target="https://www.scopus.com/inward/record.uri?eid=2-s2.0-77952532602&amp;doi=10.1520%2fstp48942s&amp;partnerID=40&amp;md5=7287fa5771a75cfb731450fa652ca8b4" TargetMode="External"/><Relationship Id="rId51" Type="http://schemas.openxmlformats.org/officeDocument/2006/relationships/hyperlink" Target="https://www.scopus.com/inward/record.uri?eid=2-s2.0-84856030051&amp;doi=10.1177%2f1744259111423085&amp;partnerID=40&amp;md5=6b5498b6ae96c1a2d5245a9cbad6d9f1" TargetMode="External"/><Relationship Id="rId72" Type="http://schemas.openxmlformats.org/officeDocument/2006/relationships/hyperlink" Target="https://www.scopus.com/inward/record.uri?eid=2-s2.0-0025844107&amp;partnerID=40&amp;md5=8e4c11cb70cfad69192d6afdd77bb3bc" TargetMode="External"/><Relationship Id="rId3" Type="http://schemas.openxmlformats.org/officeDocument/2006/relationships/hyperlink" Target="https://www.scopus.com/inward/record.uri?eid=2-s2.0-82055194145&amp;doi=10.1016%2fj.buildenv.2011.10.021&amp;partnerID=40&amp;md5=0542959125cd74a5e318ec63035f5832" TargetMode="External"/><Relationship Id="rId12" Type="http://schemas.openxmlformats.org/officeDocument/2006/relationships/hyperlink" Target="https://www.scopus.com/inward/record.uri?eid=2-s2.0-12344303541&amp;doi=10.1177%2f1097196305048597&amp;partnerID=40&amp;md5=4676dc95e8838926f5f70bd3c01a33db" TargetMode="External"/><Relationship Id="rId17" Type="http://schemas.openxmlformats.org/officeDocument/2006/relationships/hyperlink" Target="https://www.scopus.com/inward/record.uri?eid=2-s2.0-85211135029&amp;doi=10.1016%2fj.jobe.2024.111500&amp;partnerID=40&amp;md5=39d7eb7d95c70edfeb0bba0173cdc7f4" TargetMode="External"/><Relationship Id="rId25" Type="http://schemas.openxmlformats.org/officeDocument/2006/relationships/hyperlink" Target="https://www.scopus.com/inward/record.uri?eid=2-s2.0-85121448930&amp;doi=10.1088%2f1742-6596%2f2069%2f1%2f012094&amp;partnerID=40&amp;md5=77b1d20f85a28f3d8e9b80b47ba11404" TargetMode="External"/><Relationship Id="rId33" Type="http://schemas.openxmlformats.org/officeDocument/2006/relationships/hyperlink" Target="https://www.scopus.com/inward/record.uri?eid=2-s2.0-85033398009&amp;doi=10.1016%2fj.egypro.2017.09.673&amp;partnerID=40&amp;md5=64b179cd06bfd83716ebf76ff6dc26f8" TargetMode="External"/><Relationship Id="rId38" Type="http://schemas.openxmlformats.org/officeDocument/2006/relationships/hyperlink" Target="https://www.scopus.com/inward/record.uri?eid=2-s2.0-85053709274&amp;partnerID=40&amp;md5=cf2aa144902df1f641b598258c15f53f" TargetMode="External"/><Relationship Id="rId46" Type="http://schemas.openxmlformats.org/officeDocument/2006/relationships/hyperlink" Target="https://www.scopus.com/inward/record.uri?eid=2-s2.0-84945308837&amp;doi=10.1016%2fj.buildenv.2015.10.009&amp;partnerID=40&amp;md5=cdf4ee1a73c374086b1298f6a4fec264" TargetMode="External"/><Relationship Id="rId59" Type="http://schemas.openxmlformats.org/officeDocument/2006/relationships/hyperlink" Target="https://www.scopus.com/inward/record.uri?eid=2-s2.0-84916911211&amp;partnerID=40&amp;md5=3d308be30095ee0c7f0368485520337a" TargetMode="External"/><Relationship Id="rId67" Type="http://schemas.openxmlformats.org/officeDocument/2006/relationships/hyperlink" Target="https://www.scopus.com/inward/record.uri?eid=2-s2.0-0343090769&amp;doi=10.1016%2fS0378-7788%2898%2900031-0&amp;partnerID=40&amp;md5=8a936dfa790d95a59fe328300c56978a" TargetMode="External"/><Relationship Id="rId20" Type="http://schemas.openxmlformats.org/officeDocument/2006/relationships/hyperlink" Target="https://www.scopus.com/inward/record.uri?eid=2-s2.0-85194198537&amp;doi=10.1016%2fj.ijthermalsci.2024.109169&amp;partnerID=40&amp;md5=d84cf0e0d08c90105cdfef54d4956740" TargetMode="External"/><Relationship Id="rId41" Type="http://schemas.openxmlformats.org/officeDocument/2006/relationships/hyperlink" Target="https://www.scopus.com/inward/record.uri?eid=2-s2.0-84979985991&amp;doi=10.1002%2fbapi.201610019&amp;partnerID=40&amp;md5=f22fbda5ce2a6390de455f220a68fe28" TargetMode="External"/><Relationship Id="rId54" Type="http://schemas.openxmlformats.org/officeDocument/2006/relationships/hyperlink" Target="https://www.scopus.com/inward/record.uri?eid=2-s2.0-76449097538&amp;doi=10.1177%2f1744259109343502&amp;partnerID=40&amp;md5=6523114b0e92b91141cc54dec3c8b360" TargetMode="External"/><Relationship Id="rId62" Type="http://schemas.openxmlformats.org/officeDocument/2006/relationships/hyperlink" Target="https://www.scopus.com/inward/record.uri?eid=2-s2.0-85103059967&amp;partnerID=40&amp;md5=ab671ca5bced7579d787808d9b30b0ac" TargetMode="External"/><Relationship Id="rId70" Type="http://schemas.openxmlformats.org/officeDocument/2006/relationships/hyperlink" Target="https://www.scopus.com/inward/record.uri?eid=2-s2.0-0029376496&amp;doi=10.1520%2fstp14695s&amp;partnerID=40&amp;md5=15a9a81c101b5a563a9d21c043428fdc" TargetMode="External"/><Relationship Id="rId75" Type="http://schemas.openxmlformats.org/officeDocument/2006/relationships/hyperlink" Target="https://www.scopus.com/inward/record.uri?eid=2-s2.0-49949100577&amp;partnerID=40&amp;md5=9dc9aa3e540a01b19567158fd42bb105" TargetMode="External"/><Relationship Id="rId1" Type="http://schemas.openxmlformats.org/officeDocument/2006/relationships/hyperlink" Target="https://www.scopus.com/inward/record.uri?eid=2-s2.0-85054018479&amp;doi=10.1016%2fj.buildenv.2018.09.032&amp;partnerID=40&amp;md5=0d452a5b47818d4e3de8ff398a6fe918" TargetMode="External"/><Relationship Id="rId6" Type="http://schemas.openxmlformats.org/officeDocument/2006/relationships/hyperlink" Target="https://www.scopus.com/inward/record.uri?eid=2-s2.0-84875020110&amp;doi=10.1088%2f1742-6596%2f395%2f1%2f012142&amp;partnerID=40&amp;md5=2dbb5f134aaa33889c652660f4247d1b" TargetMode="External"/><Relationship Id="rId15" Type="http://schemas.openxmlformats.org/officeDocument/2006/relationships/hyperlink" Target="https://www.scopus.com/inward/record.uri?eid=2-s2.0-85030983909&amp;partnerID=40&amp;md5=d5e9289542fdf6b1e0c381343379b14b" TargetMode="External"/><Relationship Id="rId23" Type="http://schemas.openxmlformats.org/officeDocument/2006/relationships/hyperlink" Target="https://www.scopus.com/inward/record.uri?eid=2-s2.0-85159939316&amp;doi=10.14311%2fAPP.2022.38.0347&amp;partnerID=40&amp;md5=7aed82f8aa7bfb8971cc6c94a7522aa6" TargetMode="External"/><Relationship Id="rId28" Type="http://schemas.openxmlformats.org/officeDocument/2006/relationships/hyperlink" Target="https://www.scopus.com/inward/record.uri?eid=2-s2.0-85068112129&amp;doi=10.1108%2fIJBPA-09-2018-0075&amp;partnerID=40&amp;md5=34b5bd4842ea10a49e94cc4454f26845" TargetMode="External"/><Relationship Id="rId36" Type="http://schemas.openxmlformats.org/officeDocument/2006/relationships/hyperlink" Target="https://www.scopus.com/inward/record.uri?eid=2-s2.0-85033371663&amp;doi=10.1016%2fj.proeng.2017.10.016&amp;partnerID=40&amp;md5=fc8cd07b61a2ea819f253b81dd8bf949" TargetMode="External"/><Relationship Id="rId49" Type="http://schemas.openxmlformats.org/officeDocument/2006/relationships/hyperlink" Target="https://www.scopus.com/inward/record.uri?eid=2-s2.0-84943011771&amp;doi=10.1016%2fj.foar.2012.12.003&amp;partnerID=40&amp;md5=2f6b4cb98e90a678278091870597fb43" TargetMode="External"/><Relationship Id="rId57" Type="http://schemas.openxmlformats.org/officeDocument/2006/relationships/hyperlink" Target="https://www.scopus.com/inward/record.uri?eid=2-s2.0-34548309007&amp;doi=10.1016%2fj.enbuild.2006.12.004&amp;partnerID=40&amp;md5=85c4ee723a657ff5f53212d1310f55e7" TargetMode="External"/><Relationship Id="rId10" Type="http://schemas.openxmlformats.org/officeDocument/2006/relationships/hyperlink" Target="https://www.scopus.com/inward/record.uri?eid=2-s2.0-59049084862&amp;doi=10.1016%2fj.buildenv.2008.07.017&amp;partnerID=40&amp;md5=e0a594ab88cd0028f3a4039739b39b49" TargetMode="External"/><Relationship Id="rId31" Type="http://schemas.openxmlformats.org/officeDocument/2006/relationships/hyperlink" Target="https://www.scopus.com/inward/record.uri?eid=2-s2.0-85024095348&amp;doi=10.1016%2fj.buildenv.2017.07.012&amp;partnerID=40&amp;md5=b1bfff8c38ff3193176d8db1277332b8" TargetMode="External"/><Relationship Id="rId44" Type="http://schemas.openxmlformats.org/officeDocument/2006/relationships/hyperlink" Target="https://www.scopus.com/inward/record.uri?eid=2-s2.0-84962544870&amp;doi=10.1016%2fj.egypro.2015.11.618&amp;partnerID=40&amp;md5=d10b3445837aebbc4b9c6c8b6ca3758d" TargetMode="External"/><Relationship Id="rId52" Type="http://schemas.openxmlformats.org/officeDocument/2006/relationships/hyperlink" Target="https://www.scopus.com/inward/record.uri?eid=2-s2.0-84926516591&amp;partnerID=40&amp;md5=52486c235072647c8be21eb85e9db440" TargetMode="External"/><Relationship Id="rId60" Type="http://schemas.openxmlformats.org/officeDocument/2006/relationships/hyperlink" Target="https://www.scopus.com/inward/record.uri?eid=2-s2.0-85102993957&amp;partnerID=40&amp;md5=6905e2ee8442d2e9ba21bc1e0f9e9583" TargetMode="External"/><Relationship Id="rId65" Type="http://schemas.openxmlformats.org/officeDocument/2006/relationships/hyperlink" Target="https://www.scopus.com/inward/record.uri?eid=2-s2.0-0037696626&amp;partnerID=40&amp;md5=091ce7ea22fd0b5a7de18d02301872d1" TargetMode="External"/><Relationship Id="rId73" Type="http://schemas.openxmlformats.org/officeDocument/2006/relationships/hyperlink" Target="https://www.scopus.com/inward/record.uri?eid=2-s2.0-0024859747&amp;partnerID=40&amp;md5=b8b5de23e16252849aa418a71fcabe0c" TargetMode="External"/><Relationship Id="rId78" Type="http://schemas.openxmlformats.org/officeDocument/2006/relationships/hyperlink" Target="https://www.scopus.com/inward/record.uri?eid=2-s2.0-34347220639&amp;partnerID=40&amp;md5=1b85bca8a473e5a23e5026571c390e02" TargetMode="External"/><Relationship Id="rId4" Type="http://schemas.openxmlformats.org/officeDocument/2006/relationships/hyperlink" Target="https://www.scopus.com/inward/record.uri?eid=2-s2.0-84864912438&amp;doi=10.1016%2fj.buildenv.2012.07.011&amp;partnerID=40&amp;md5=38ddd5287496d578c1f1acee80f787f4" TargetMode="External"/><Relationship Id="rId9" Type="http://schemas.openxmlformats.org/officeDocument/2006/relationships/hyperlink" Target="https://www.scopus.com/inward/record.uri?eid=2-s2.0-61449237436&amp;doi=10.1080%2f09613210802645973&amp;partnerID=40&amp;md5=db7f8a62171e0ca4a53a8d67a2e9c141" TargetMode="External"/><Relationship Id="rId13" Type="http://schemas.openxmlformats.org/officeDocument/2006/relationships/hyperlink" Target="https://www.scopus.com/inward/record.uri?eid=2-s2.0-0032654174&amp;doi=10.1520%2fstp13329s&amp;partnerID=40&amp;md5=560df4438bb28ff6bfcad5c94d1a1917" TargetMode="External"/><Relationship Id="rId18" Type="http://schemas.openxmlformats.org/officeDocument/2006/relationships/hyperlink" Target="https://www.scopus.com/inward/record.uri?eid=2-s2.0-85201227441&amp;doi=10.1016%2fj.buildenv.2024.111937&amp;partnerID=40&amp;md5=c19da8f50f0e8e2b78c123b5ad0b453a" TargetMode="External"/><Relationship Id="rId39" Type="http://schemas.openxmlformats.org/officeDocument/2006/relationships/hyperlink" Target="https://www.scopus.com/inward/record.uri?eid=2-s2.0-85024127442&amp;partnerID=40&amp;md5=be5795b932d1ee53dd33640913c63c4c" TargetMode="External"/><Relationship Id="rId34" Type="http://schemas.openxmlformats.org/officeDocument/2006/relationships/hyperlink" Target="https://www.scopus.com/inward/record.uri?eid=2-s2.0-85029611758&amp;doi=10.1177%2f1744259116673983&amp;partnerID=40&amp;md5=1566179a333369c58afe665d10f054e8" TargetMode="External"/><Relationship Id="rId50" Type="http://schemas.openxmlformats.org/officeDocument/2006/relationships/hyperlink" Target="https://www.scopus.com/inward/record.uri?eid=2-s2.0-84880054095&amp;doi=10.1016%2fj.enbuild.2013.05.050&amp;partnerID=40&amp;md5=1c8c032081bca8f3bba5a10a8a519e9f" TargetMode="External"/><Relationship Id="rId55" Type="http://schemas.openxmlformats.org/officeDocument/2006/relationships/hyperlink" Target="https://www.scopus.com/inward/record.uri?eid=2-s2.0-84872659076&amp;partnerID=40&amp;md5=37f4caf42ad172c14485192637c6e764" TargetMode="External"/><Relationship Id="rId76" Type="http://schemas.openxmlformats.org/officeDocument/2006/relationships/hyperlink" Target="https://www.scopus.com/inward/record.uri?eid=2-s2.0-84912552053&amp;doi=10.1016%2fj.enbuild.2014.11.038&amp;partnerID=40&amp;md5=92885590af3c5f3f3a7097018f4d2024" TargetMode="External"/><Relationship Id="rId7" Type="http://schemas.openxmlformats.org/officeDocument/2006/relationships/hyperlink" Target="https://www.scopus.com/inward/record.uri?eid=2-s2.0-84866306086&amp;partnerID=40&amp;md5=14e4fdcead9cdc6e70a2cfe07c43581d" TargetMode="External"/><Relationship Id="rId71" Type="http://schemas.openxmlformats.org/officeDocument/2006/relationships/hyperlink" Target="https://www.scopus.com/inward/record.uri?eid=2-s2.0-0029226946&amp;partnerID=40&amp;md5=fcc805ebdaf69b3c375702fc4f19e372" TargetMode="External"/><Relationship Id="rId2" Type="http://schemas.openxmlformats.org/officeDocument/2006/relationships/hyperlink" Target="https://www.scopus.com/inward/record.uri?eid=2-s2.0-84870774091&amp;doi=10.1080%2f14733315.2012.11683988&amp;partnerID=40&amp;md5=fcdc7c120e1aa6c339a615749d10e90f" TargetMode="External"/><Relationship Id="rId29" Type="http://schemas.openxmlformats.org/officeDocument/2006/relationships/hyperlink" Target="https://www.scopus.com/inward/record.uri?eid=2-s2.0-85073065903&amp;doi=10.1016%2fj.enbuild.2019.109418&amp;partnerID=40&amp;md5=27c54ce579eb392c706bf5e8300692e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2E578-F796-410A-BA9C-307F1BD1FCCC}">
  <sheetPr filterMode="1"/>
  <dimension ref="A1:AQ227"/>
  <sheetViews>
    <sheetView tabSelected="1" topLeftCell="A6" zoomScale="85" zoomScaleNormal="85" workbookViewId="0">
      <pane ySplit="495" activePane="bottomLeft"/>
      <selection activeCell="AI6" sqref="AI1:AI1048576"/>
      <selection pane="bottomLeft" activeCell="AG3" sqref="AG3"/>
    </sheetView>
  </sheetViews>
  <sheetFormatPr baseColWidth="10" defaultColWidth="9.140625" defaultRowHeight="15" x14ac:dyDescent="0.25"/>
  <cols>
    <col min="1" max="1" width="33" customWidth="1"/>
    <col min="2" max="2" width="39.140625" customWidth="1"/>
    <col min="3" max="3" width="9.5703125" customWidth="1"/>
    <col min="4" max="4" width="34.28515625" customWidth="1"/>
    <col min="5" max="5" width="14.85546875" customWidth="1"/>
    <col min="6" max="6" width="5.7109375" customWidth="1"/>
    <col min="7" max="7" width="11.7109375" customWidth="1"/>
    <col min="8" max="8" width="9.7109375" customWidth="1"/>
    <col min="9" max="9" width="9.140625" customWidth="1"/>
    <col min="10" max="10" width="10.7109375" customWidth="1"/>
    <col min="11" max="11" width="8.28515625" customWidth="1"/>
    <col min="12" max="12" width="20.5703125" customWidth="1"/>
    <col min="13" max="13" width="20.140625" customWidth="1"/>
    <col min="14" max="14" width="168.5703125" bestFit="1" customWidth="1"/>
    <col min="15" max="15" width="11.85546875" bestFit="1" customWidth="1"/>
    <col min="16" max="16" width="34.85546875" customWidth="1"/>
    <col min="17" max="17" width="27.42578125" bestFit="1" customWidth="1"/>
    <col min="18" max="18" width="19.85546875" bestFit="1" customWidth="1"/>
    <col min="19" max="19" width="30.5703125" bestFit="1" customWidth="1"/>
    <col min="20" max="20" width="15.42578125" bestFit="1" customWidth="1"/>
    <col min="21" max="21" width="35.85546875" bestFit="1" customWidth="1"/>
    <col min="22" max="22" width="79.42578125" bestFit="1" customWidth="1"/>
    <col min="23" max="23" width="35.5703125" bestFit="1" customWidth="1"/>
    <col min="24" max="34" width="25.7109375" customWidth="1"/>
    <col min="35" max="35" width="17.42578125" customWidth="1"/>
    <col min="36" max="36" width="31.85546875" customWidth="1"/>
    <col min="37" max="37" width="47.85546875" customWidth="1"/>
    <col min="38" max="38" width="18" bestFit="1" customWidth="1"/>
    <col min="39" max="39" width="16.42578125" bestFit="1" customWidth="1"/>
    <col min="40" max="40" width="15.5703125" customWidth="1"/>
    <col min="41" max="41" width="7.140625" bestFit="1" customWidth="1"/>
    <col min="42" max="42" width="18" bestFit="1" customWidth="1"/>
  </cols>
  <sheetData>
    <row r="1" spans="1:42"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1375</v>
      </c>
      <c r="P1" s="1" t="s">
        <v>1416</v>
      </c>
      <c r="Q1" s="1" t="s">
        <v>1453</v>
      </c>
      <c r="R1" s="1" t="s">
        <v>1470</v>
      </c>
      <c r="S1" s="1" t="s">
        <v>1704</v>
      </c>
      <c r="T1" s="1"/>
      <c r="U1" s="1" t="s">
        <v>1705</v>
      </c>
      <c r="V1" s="1" t="s">
        <v>1706</v>
      </c>
      <c r="W1" s="1" t="s">
        <v>1707</v>
      </c>
      <c r="X1" s="1"/>
      <c r="Y1" s="1"/>
      <c r="Z1" s="1"/>
      <c r="AA1" s="1" t="s">
        <v>1594</v>
      </c>
      <c r="AB1" s="1" t="s">
        <v>1606</v>
      </c>
      <c r="AC1" s="1" t="s">
        <v>1595</v>
      </c>
      <c r="AD1" t="s">
        <v>1596</v>
      </c>
      <c r="AE1" t="s">
        <v>1597</v>
      </c>
      <c r="AF1" t="s">
        <v>1598</v>
      </c>
      <c r="AG1" t="s">
        <v>1599</v>
      </c>
      <c r="AH1" t="s">
        <v>1600</v>
      </c>
      <c r="AI1" s="1" t="s">
        <v>14</v>
      </c>
      <c r="AJ1" s="1" t="s">
        <v>15</v>
      </c>
      <c r="AK1" s="1" t="s">
        <v>16</v>
      </c>
      <c r="AL1" s="1" t="s">
        <v>17</v>
      </c>
      <c r="AM1" s="1" t="s">
        <v>18</v>
      </c>
      <c r="AN1" s="1" t="s">
        <v>19</v>
      </c>
      <c r="AO1" s="1" t="s">
        <v>20</v>
      </c>
      <c r="AP1" s="1" t="s">
        <v>21</v>
      </c>
    </row>
    <row r="2" spans="1:42" ht="210" x14ac:dyDescent="0.25">
      <c r="A2" s="2" t="s">
        <v>1203</v>
      </c>
      <c r="B2" s="2" t="s">
        <v>1204</v>
      </c>
      <c r="C2" s="2">
        <v>1982</v>
      </c>
      <c r="D2" s="2" t="s">
        <v>388</v>
      </c>
      <c r="E2" s="2" t="s">
        <v>1205</v>
      </c>
      <c r="F2" s="2"/>
      <c r="G2" s="2"/>
      <c r="H2" s="2">
        <v>223</v>
      </c>
      <c r="I2" s="2">
        <v>233</v>
      </c>
      <c r="J2" s="2">
        <v>10</v>
      </c>
      <c r="K2" s="2">
        <v>3</v>
      </c>
      <c r="L2" s="2" t="s">
        <v>1206</v>
      </c>
      <c r="M2" s="2" t="s">
        <v>1207</v>
      </c>
      <c r="N2" s="4" t="s">
        <v>1208</v>
      </c>
      <c r="O2" s="2"/>
      <c r="P2" s="2"/>
      <c r="Q2" s="2"/>
      <c r="R2" s="2"/>
      <c r="S2" t="str">
        <f>INT(C2/10)*10 &amp; "s"</f>
        <v>1980s</v>
      </c>
      <c r="U2" t="s">
        <v>429</v>
      </c>
      <c r="Z2" t="str">
        <f t="shared" ref="Z2:Z49" si="0">IF(U2=3,"Simulation und Experiment",
IF(U2=4,"Review",
IF(U2=5,"Nur Literaturwerte",
IF(U2=6,"Analytical",""))))</f>
        <v/>
      </c>
      <c r="AA2" s="2" t="s">
        <v>1371</v>
      </c>
      <c r="AB2" t="str">
        <f t="shared" ref="AB2:AB8" si="1">IF(AA2="1D","Bulk",
IF(AA2="x","","Local"))</f>
        <v/>
      </c>
      <c r="AC2" s="2"/>
      <c r="AD2" s="2"/>
      <c r="AE2" s="2"/>
      <c r="AF2" s="2"/>
      <c r="AG2" s="2"/>
      <c r="AH2" s="2"/>
      <c r="AI2" s="2" t="s">
        <v>1209</v>
      </c>
      <c r="AJ2" s="2" t="s">
        <v>1210</v>
      </c>
      <c r="AK2" t="s">
        <v>1211</v>
      </c>
      <c r="AL2" s="2" t="s">
        <v>29</v>
      </c>
      <c r="AM2" s="2" t="s">
        <v>24</v>
      </c>
      <c r="AN2" s="2" t="s">
        <v>41</v>
      </c>
      <c r="AO2" s="2" t="s">
        <v>25</v>
      </c>
      <c r="AP2" s="2" t="s">
        <v>1212</v>
      </c>
    </row>
    <row r="3" spans="1:42" ht="120" x14ac:dyDescent="0.25">
      <c r="A3" s="2" t="s">
        <v>1330</v>
      </c>
      <c r="B3" s="2" t="s">
        <v>1331</v>
      </c>
      <c r="C3" s="2">
        <v>1985</v>
      </c>
      <c r="D3" s="2" t="s">
        <v>120</v>
      </c>
      <c r="E3" s="2" t="s">
        <v>1046</v>
      </c>
      <c r="F3" s="2" t="s">
        <v>1332</v>
      </c>
      <c r="G3" s="2"/>
      <c r="H3" s="2">
        <v>322</v>
      </c>
      <c r="I3" s="2">
        <v>342</v>
      </c>
      <c r="J3" s="2">
        <v>20</v>
      </c>
      <c r="K3" s="2">
        <v>12</v>
      </c>
      <c r="L3" s="2"/>
      <c r="M3" s="12" t="s">
        <v>1333</v>
      </c>
      <c r="N3" s="14" t="s">
        <v>1334</v>
      </c>
      <c r="O3" s="2"/>
      <c r="P3" s="2"/>
      <c r="Q3" s="2"/>
      <c r="R3" s="2"/>
      <c r="S3" t="str">
        <f>INT(C3/10)*10 &amp; "s"</f>
        <v>1980s</v>
      </c>
      <c r="U3" t="str">
        <f>IF(AA3&lt;&gt;"","Simulation","Experiment")</f>
        <v>Simulation</v>
      </c>
      <c r="V3" t="s">
        <v>1619</v>
      </c>
      <c r="W3" t="s">
        <v>1685</v>
      </c>
      <c r="Z3" t="str">
        <f t="shared" si="0"/>
        <v/>
      </c>
      <c r="AA3" t="s">
        <v>1501</v>
      </c>
      <c r="AB3" t="str">
        <f t="shared" si="1"/>
        <v>Bulk</v>
      </c>
      <c r="AC3" s="2" t="s">
        <v>1502</v>
      </c>
      <c r="AD3" s="2" t="s">
        <v>1503</v>
      </c>
      <c r="AE3" s="2" t="s">
        <v>1504</v>
      </c>
      <c r="AF3" s="2"/>
      <c r="AG3" s="2" t="s">
        <v>1505</v>
      </c>
      <c r="AH3" s="2" t="s">
        <v>1506</v>
      </c>
      <c r="AI3" s="2"/>
      <c r="AJ3" s="2" t="s">
        <v>1335</v>
      </c>
      <c r="AL3" s="2" t="s">
        <v>29</v>
      </c>
      <c r="AM3" s="2" t="s">
        <v>24</v>
      </c>
      <c r="AN3" s="2"/>
      <c r="AO3" s="2" t="s">
        <v>25</v>
      </c>
      <c r="AP3" s="2" t="s">
        <v>1336</v>
      </c>
    </row>
    <row r="4" spans="1:42" ht="120" x14ac:dyDescent="0.25">
      <c r="A4" s="2" t="s">
        <v>1221</v>
      </c>
      <c r="B4" s="2" t="s">
        <v>1222</v>
      </c>
      <c r="C4" s="2">
        <v>1989</v>
      </c>
      <c r="D4" s="2" t="s">
        <v>1223</v>
      </c>
      <c r="E4" s="2"/>
      <c r="F4" s="2" t="s">
        <v>1224</v>
      </c>
      <c r="G4" s="2"/>
      <c r="H4" s="2"/>
      <c r="I4" s="2"/>
      <c r="J4" s="2">
        <v>106</v>
      </c>
      <c r="K4" s="2">
        <v>0</v>
      </c>
      <c r="L4" s="2"/>
      <c r="M4" s="12" t="s">
        <v>1225</v>
      </c>
      <c r="N4" s="14" t="s">
        <v>1631</v>
      </c>
      <c r="O4" s="2"/>
      <c r="P4" s="2"/>
      <c r="Q4" s="2"/>
      <c r="R4" s="2"/>
      <c r="S4" t="str">
        <f>INT(C4/10)*10 &amp; "s"</f>
        <v>1980s</v>
      </c>
      <c r="U4" t="str">
        <f>IF(AA4&lt;&gt;"","Simulation","Experiment")</f>
        <v>Simulation</v>
      </c>
      <c r="V4" t="s">
        <v>1619</v>
      </c>
      <c r="W4" t="s">
        <v>1685</v>
      </c>
      <c r="Z4" t="str">
        <f t="shared" si="0"/>
        <v/>
      </c>
      <c r="AA4" t="s">
        <v>1507</v>
      </c>
      <c r="AB4" t="str">
        <f t="shared" si="1"/>
        <v>Local</v>
      </c>
      <c r="AC4" s="2" t="s">
        <v>1502</v>
      </c>
      <c r="AD4" s="2"/>
      <c r="AE4" s="2"/>
      <c r="AF4" s="2"/>
      <c r="AG4" s="2" t="s">
        <v>1508</v>
      </c>
      <c r="AH4" s="2" t="s">
        <v>1509</v>
      </c>
      <c r="AI4" s="2"/>
      <c r="AJ4" s="2" t="s">
        <v>1227</v>
      </c>
      <c r="AL4" s="2" t="s">
        <v>1180</v>
      </c>
      <c r="AM4" s="2" t="s">
        <v>24</v>
      </c>
      <c r="AN4" s="2"/>
      <c r="AO4" s="2" t="s">
        <v>25</v>
      </c>
      <c r="AP4" s="2" t="s">
        <v>1228</v>
      </c>
    </row>
    <row r="5" spans="1:42" ht="105" x14ac:dyDescent="0.25">
      <c r="A5" s="2" t="s">
        <v>1158</v>
      </c>
      <c r="B5" s="2" t="s">
        <v>1159</v>
      </c>
      <c r="C5" s="2">
        <v>1991</v>
      </c>
      <c r="D5" s="2" t="s">
        <v>1160</v>
      </c>
      <c r="E5" s="2"/>
      <c r="F5" s="2"/>
      <c r="G5" s="2"/>
      <c r="H5" s="2">
        <v>673</v>
      </c>
      <c r="I5" s="2">
        <v>682</v>
      </c>
      <c r="J5" s="2">
        <v>9</v>
      </c>
      <c r="K5" s="2">
        <v>0</v>
      </c>
      <c r="L5" s="2"/>
      <c r="M5" s="12" t="s">
        <v>1161</v>
      </c>
      <c r="N5" s="14" t="s">
        <v>1162</v>
      </c>
      <c r="O5" s="2"/>
      <c r="P5" s="2"/>
      <c r="Q5" s="2"/>
      <c r="R5" s="2"/>
      <c r="S5" t="str">
        <f>INT(C5/10)*10 &amp; "s"</f>
        <v>1990s</v>
      </c>
      <c r="U5" t="str">
        <f>IF(AA5&lt;&gt;"","Simulation","Experiment")</f>
        <v>Experiment</v>
      </c>
      <c r="Z5" t="str">
        <f t="shared" si="0"/>
        <v/>
      </c>
      <c r="AA5" s="2"/>
      <c r="AB5" t="str">
        <f t="shared" si="1"/>
        <v>Local</v>
      </c>
      <c r="AC5" s="2"/>
      <c r="AD5" s="2"/>
      <c r="AE5" s="2"/>
      <c r="AF5" s="2"/>
      <c r="AG5" s="2"/>
      <c r="AH5" s="2"/>
      <c r="AI5" s="2"/>
      <c r="AJ5" s="2" t="s">
        <v>1163</v>
      </c>
      <c r="AL5" s="2" t="s">
        <v>29</v>
      </c>
      <c r="AM5" s="2" t="s">
        <v>24</v>
      </c>
      <c r="AN5" s="2"/>
      <c r="AO5" s="2" t="s">
        <v>25</v>
      </c>
      <c r="AP5" s="2" t="s">
        <v>1164</v>
      </c>
    </row>
    <row r="6" spans="1:42" ht="165" x14ac:dyDescent="0.25">
      <c r="A6" s="2" t="s">
        <v>1165</v>
      </c>
      <c r="B6" s="2" t="s">
        <v>1166</v>
      </c>
      <c r="C6" s="2">
        <v>1995</v>
      </c>
      <c r="D6" s="2" t="s">
        <v>388</v>
      </c>
      <c r="E6" s="2"/>
      <c r="F6" s="2" t="s">
        <v>1167</v>
      </c>
      <c r="G6" s="2"/>
      <c r="H6" s="2">
        <v>137</v>
      </c>
      <c r="I6" s="2">
        <v>155</v>
      </c>
      <c r="J6" s="2">
        <v>18</v>
      </c>
      <c r="K6" s="2">
        <v>18</v>
      </c>
      <c r="L6" s="2" t="s">
        <v>1168</v>
      </c>
      <c r="M6" s="12" t="s">
        <v>1169</v>
      </c>
      <c r="N6" s="14" t="s">
        <v>1170</v>
      </c>
      <c r="O6" s="2"/>
      <c r="P6" s="2"/>
      <c r="Q6" s="2"/>
      <c r="R6" s="2"/>
      <c r="S6" t="str">
        <f>INT(C6/10)*10 &amp; "s"</f>
        <v>1990s</v>
      </c>
      <c r="U6" t="str">
        <f>IF(AA6&lt;&gt;"","Simulation","Experiment")</f>
        <v>Experiment</v>
      </c>
      <c r="X6" t="s">
        <v>1611</v>
      </c>
      <c r="Z6" t="str">
        <f t="shared" si="0"/>
        <v/>
      </c>
      <c r="AA6" s="2"/>
      <c r="AB6" t="str">
        <f t="shared" si="1"/>
        <v>Local</v>
      </c>
      <c r="AC6" s="2"/>
      <c r="AD6" s="2"/>
      <c r="AE6" s="2"/>
      <c r="AF6" s="2"/>
      <c r="AG6" s="2"/>
      <c r="AH6" s="2"/>
      <c r="AI6" s="2"/>
      <c r="AJ6" s="2" t="s">
        <v>1171</v>
      </c>
      <c r="AL6" s="2" t="s">
        <v>29</v>
      </c>
      <c r="AM6" s="2" t="s">
        <v>24</v>
      </c>
      <c r="AN6" s="2"/>
      <c r="AO6" s="2" t="s">
        <v>25</v>
      </c>
      <c r="AP6" s="2" t="s">
        <v>1172</v>
      </c>
    </row>
    <row r="7" spans="1:42" ht="30" x14ac:dyDescent="0.25">
      <c r="A7" s="2" t="s">
        <v>1182</v>
      </c>
      <c r="B7" s="2" t="s">
        <v>1412</v>
      </c>
      <c r="C7" s="2">
        <v>1995</v>
      </c>
      <c r="D7" s="2" t="s">
        <v>1413</v>
      </c>
      <c r="E7" s="2"/>
      <c r="F7" s="2"/>
      <c r="G7" s="2"/>
      <c r="H7" s="2"/>
      <c r="I7" s="2"/>
      <c r="J7" s="2"/>
      <c r="K7" s="2"/>
      <c r="L7" s="2"/>
      <c r="M7" s="12"/>
      <c r="N7" s="14"/>
      <c r="O7" s="2"/>
      <c r="P7" s="2"/>
      <c r="Q7" s="2"/>
      <c r="R7" s="2"/>
      <c r="S7" t="str">
        <f>INT(C7/10)*10 &amp; "s"</f>
        <v>1990s</v>
      </c>
      <c r="U7" t="str">
        <f>IF(AA7&lt;&gt;"","Simulation","Experiment")</f>
        <v>Simulation</v>
      </c>
      <c r="V7" t="s">
        <v>1619</v>
      </c>
      <c r="W7" t="s">
        <v>1359</v>
      </c>
      <c r="Z7" t="str">
        <f t="shared" si="0"/>
        <v/>
      </c>
      <c r="AA7" t="s">
        <v>1507</v>
      </c>
      <c r="AB7" t="str">
        <f t="shared" si="1"/>
        <v>Local</v>
      </c>
      <c r="AC7" s="2" t="s">
        <v>1510</v>
      </c>
      <c r="AD7" s="2"/>
      <c r="AE7" s="2"/>
      <c r="AF7" s="2"/>
      <c r="AG7" s="2" t="s">
        <v>1508</v>
      </c>
      <c r="AH7" s="2" t="s">
        <v>1509</v>
      </c>
      <c r="AI7" s="2"/>
      <c r="AJ7" s="2"/>
      <c r="AL7" s="2"/>
      <c r="AM7" s="2"/>
      <c r="AN7" s="2"/>
      <c r="AO7" s="2"/>
      <c r="AP7" s="2"/>
    </row>
    <row r="8" spans="1:42" ht="120" x14ac:dyDescent="0.25">
      <c r="A8" s="2" t="s">
        <v>1182</v>
      </c>
      <c r="B8" s="2" t="s">
        <v>1183</v>
      </c>
      <c r="C8" s="2">
        <v>1995</v>
      </c>
      <c r="D8" s="2" t="s">
        <v>120</v>
      </c>
      <c r="E8" s="2"/>
      <c r="F8" s="2" t="s">
        <v>28</v>
      </c>
      <c r="G8" s="2"/>
      <c r="H8" s="2">
        <v>595</v>
      </c>
      <c r="I8" s="2">
        <v>606</v>
      </c>
      <c r="J8" s="2">
        <v>11</v>
      </c>
      <c r="K8" s="2">
        <v>3</v>
      </c>
      <c r="L8" s="2"/>
      <c r="M8" s="12" t="s">
        <v>1184</v>
      </c>
      <c r="N8" s="14" t="s">
        <v>1185</v>
      </c>
      <c r="O8" s="2" t="s">
        <v>1452</v>
      </c>
      <c r="P8" s="2"/>
      <c r="Q8" s="2"/>
      <c r="R8" s="2"/>
      <c r="S8" t="str">
        <f>INT(C8/10)*10 &amp; "s"</f>
        <v>1990s</v>
      </c>
      <c r="U8" t="str">
        <f>IF(AA8&lt;&gt;"","Simulation","Experiment")</f>
        <v>Experiment</v>
      </c>
      <c r="Z8" t="str">
        <f t="shared" si="0"/>
        <v/>
      </c>
      <c r="AA8" s="2"/>
      <c r="AB8" t="str">
        <f t="shared" si="1"/>
        <v>Local</v>
      </c>
      <c r="AC8" s="2"/>
      <c r="AD8" s="2"/>
      <c r="AE8" s="2"/>
      <c r="AF8" s="2"/>
      <c r="AG8" s="2"/>
      <c r="AH8" s="2"/>
      <c r="AI8" s="2"/>
      <c r="AJ8" s="2" t="s">
        <v>1186</v>
      </c>
      <c r="AL8" s="2" t="s">
        <v>29</v>
      </c>
      <c r="AM8" s="2" t="s">
        <v>24</v>
      </c>
      <c r="AN8" s="2"/>
      <c r="AO8" s="2" t="s">
        <v>25</v>
      </c>
      <c r="AP8" s="2" t="s">
        <v>1187</v>
      </c>
    </row>
    <row r="9" spans="1:42" ht="409.5" hidden="1" x14ac:dyDescent="0.25">
      <c r="A9" s="7" t="s">
        <v>1376</v>
      </c>
      <c r="B9" s="7" t="s">
        <v>1377</v>
      </c>
      <c r="C9" s="7">
        <v>2026</v>
      </c>
      <c r="D9" s="7" t="s">
        <v>45</v>
      </c>
      <c r="E9" s="7" t="s">
        <v>1378</v>
      </c>
      <c r="F9" s="7"/>
      <c r="G9" s="7">
        <v>114081</v>
      </c>
      <c r="H9" s="7"/>
      <c r="I9" s="7"/>
      <c r="J9" s="7"/>
      <c r="K9" s="7"/>
      <c r="L9" s="7" t="s">
        <v>1379</v>
      </c>
      <c r="M9" s="22" t="s">
        <v>1380</v>
      </c>
      <c r="N9" s="7" t="s">
        <v>1381</v>
      </c>
      <c r="O9" s="2"/>
      <c r="P9" s="2" t="s">
        <v>1371</v>
      </c>
      <c r="Q9" s="2"/>
      <c r="R9" s="2"/>
      <c r="S9" s="2"/>
      <c r="T9" s="2"/>
      <c r="U9" s="2"/>
      <c r="V9" s="2"/>
      <c r="W9" s="2"/>
      <c r="X9" s="2"/>
      <c r="Y9" s="2"/>
      <c r="Z9" t="str">
        <f t="shared" si="0"/>
        <v/>
      </c>
      <c r="AA9" s="2"/>
      <c r="AB9" s="2"/>
      <c r="AC9" s="2"/>
      <c r="AD9" s="2"/>
      <c r="AE9" s="2"/>
      <c r="AF9" s="2"/>
      <c r="AG9" s="2"/>
      <c r="AH9" s="2"/>
      <c r="AI9" s="2" t="s">
        <v>1382</v>
      </c>
      <c r="AJ9" s="2" t="s">
        <v>1383</v>
      </c>
      <c r="AK9" s="2" t="s">
        <v>1384</v>
      </c>
      <c r="AL9" s="2" t="s">
        <v>1385</v>
      </c>
      <c r="AM9" s="2" t="s">
        <v>23</v>
      </c>
      <c r="AN9" s="2" t="s">
        <v>24</v>
      </c>
      <c r="AO9" s="2" t="s">
        <v>1386</v>
      </c>
      <c r="AP9" s="2" t="s">
        <v>25</v>
      </c>
    </row>
    <row r="10" spans="1:42" ht="105" x14ac:dyDescent="0.25">
      <c r="A10" s="2" t="s">
        <v>1138</v>
      </c>
      <c r="B10" s="2" t="s">
        <v>1117</v>
      </c>
      <c r="C10" s="2">
        <v>1996</v>
      </c>
      <c r="D10" s="2" t="s">
        <v>1139</v>
      </c>
      <c r="E10" s="2" t="s">
        <v>1118</v>
      </c>
      <c r="F10" s="2" t="s">
        <v>28</v>
      </c>
      <c r="G10" s="2"/>
      <c r="H10" s="2">
        <v>215</v>
      </c>
      <c r="I10" s="2">
        <v>227</v>
      </c>
      <c r="J10" s="2">
        <v>12</v>
      </c>
      <c r="K10" s="2">
        <v>23</v>
      </c>
      <c r="L10" s="2"/>
      <c r="M10" s="12" t="s">
        <v>1140</v>
      </c>
      <c r="N10" s="14" t="s">
        <v>1119</v>
      </c>
      <c r="O10" s="2"/>
      <c r="P10" s="2"/>
      <c r="Q10" s="2"/>
      <c r="R10" s="2"/>
      <c r="S10" t="str">
        <f>INT(C10/10)*10 &amp; "s"</f>
        <v>1990s</v>
      </c>
      <c r="U10" t="str">
        <f>IF(AA10&lt;&gt;"","Simulation","Experiment")</f>
        <v>Experiment</v>
      </c>
      <c r="Z10" t="str">
        <f t="shared" si="0"/>
        <v/>
      </c>
      <c r="AA10" s="2"/>
      <c r="AB10" t="str">
        <f t="shared" ref="AB10:AB15" si="2">IF(AA10="1D","Bulk",
IF(AA10="x","","Local"))</f>
        <v>Local</v>
      </c>
      <c r="AC10" s="2"/>
      <c r="AD10" s="2"/>
      <c r="AE10" s="2"/>
      <c r="AF10" s="2"/>
      <c r="AG10" s="2"/>
      <c r="AH10" s="2"/>
      <c r="AI10" s="2" t="s">
        <v>1141</v>
      </c>
      <c r="AJ10" s="2"/>
      <c r="AK10" t="s">
        <v>1142</v>
      </c>
      <c r="AL10" s="2" t="s">
        <v>23</v>
      </c>
      <c r="AM10" s="2" t="s">
        <v>24</v>
      </c>
      <c r="AN10" s="2"/>
      <c r="AO10" s="2" t="s">
        <v>25</v>
      </c>
      <c r="AP10" s="2" t="s">
        <v>1143</v>
      </c>
    </row>
    <row r="11" spans="1:42" ht="300" x14ac:dyDescent="0.25">
      <c r="A11" s="2" t="s">
        <v>1188</v>
      </c>
      <c r="B11" s="2" t="s">
        <v>1189</v>
      </c>
      <c r="C11" s="2">
        <v>1998</v>
      </c>
      <c r="D11" s="2" t="s">
        <v>128</v>
      </c>
      <c r="E11" s="2"/>
      <c r="F11" s="2"/>
      <c r="G11" s="2"/>
      <c r="H11" s="2"/>
      <c r="I11" s="2"/>
      <c r="J11" s="2"/>
      <c r="K11" s="2">
        <v>3</v>
      </c>
      <c r="L11" s="2"/>
      <c r="M11" s="12" t="s">
        <v>1190</v>
      </c>
      <c r="N11" s="14" t="s">
        <v>1632</v>
      </c>
      <c r="O11" s="2"/>
      <c r="P11" s="2"/>
      <c r="Q11" s="2"/>
      <c r="R11" s="2"/>
      <c r="S11" t="str">
        <f>INT(C11/10)*10 &amp; "s"</f>
        <v>1990s</v>
      </c>
      <c r="U11" t="str">
        <f>IF(AA11&lt;&gt;"","Simulation","Experiment")</f>
        <v>Simulation</v>
      </c>
      <c r="V11" t="s">
        <v>1619</v>
      </c>
      <c r="W11" t="s">
        <v>1359</v>
      </c>
      <c r="Z11" t="str">
        <f t="shared" si="0"/>
        <v/>
      </c>
      <c r="AA11" t="s">
        <v>1511</v>
      </c>
      <c r="AB11" t="str">
        <f t="shared" si="2"/>
        <v>Local</v>
      </c>
      <c r="AC11" s="2" t="s">
        <v>1502</v>
      </c>
      <c r="AD11" s="2" t="s">
        <v>1512</v>
      </c>
      <c r="AE11" s="2" t="s">
        <v>1513</v>
      </c>
      <c r="AF11" s="2"/>
      <c r="AG11" s="2" t="s">
        <v>1508</v>
      </c>
      <c r="AH11" s="2" t="s">
        <v>1514</v>
      </c>
      <c r="AI11" s="2"/>
      <c r="AJ11" s="2"/>
      <c r="AK11" t="s">
        <v>1686</v>
      </c>
      <c r="AL11" s="2" t="s">
        <v>29</v>
      </c>
      <c r="AM11" s="2" t="s">
        <v>24</v>
      </c>
      <c r="AN11" s="2"/>
      <c r="AO11" s="2" t="s">
        <v>25</v>
      </c>
      <c r="AP11" s="2" t="s">
        <v>1193</v>
      </c>
    </row>
    <row r="12" spans="1:42" ht="195" x14ac:dyDescent="0.25">
      <c r="A12" s="2" t="s">
        <v>1229</v>
      </c>
      <c r="B12" s="2" t="s">
        <v>1230</v>
      </c>
      <c r="C12" s="2">
        <v>1998</v>
      </c>
      <c r="D12" s="2" t="s">
        <v>128</v>
      </c>
      <c r="E12" s="2"/>
      <c r="F12" s="2"/>
      <c r="G12" s="2"/>
      <c r="H12" s="2"/>
      <c r="I12" s="2"/>
      <c r="J12" s="2"/>
      <c r="K12" s="2">
        <v>5</v>
      </c>
      <c r="L12" s="2"/>
      <c r="M12" s="12" t="s">
        <v>1231</v>
      </c>
      <c r="N12" s="14" t="s">
        <v>1232</v>
      </c>
      <c r="O12" s="2"/>
      <c r="P12" s="2"/>
      <c r="Q12" s="2"/>
      <c r="R12" s="2"/>
      <c r="S12" t="str">
        <f>INT(C12/10)*10 &amp; "s"</f>
        <v>1990s</v>
      </c>
      <c r="U12" t="str">
        <f>IF(AA12&lt;&gt;"","Simulation","Experiment")</f>
        <v>Experiment</v>
      </c>
      <c r="X12" t="s">
        <v>1607</v>
      </c>
      <c r="Z12" t="str">
        <f t="shared" si="0"/>
        <v/>
      </c>
      <c r="AA12" s="2"/>
      <c r="AB12" t="str">
        <f t="shared" si="2"/>
        <v>Local</v>
      </c>
      <c r="AC12" s="2"/>
      <c r="AD12" s="2"/>
      <c r="AE12" s="2"/>
      <c r="AF12" s="2"/>
      <c r="AG12" s="2"/>
      <c r="AH12" s="2"/>
      <c r="AI12" s="2"/>
      <c r="AJ12" s="2"/>
      <c r="AK12" t="s">
        <v>1233</v>
      </c>
      <c r="AL12" s="2" t="s">
        <v>29</v>
      </c>
      <c r="AM12" s="2" t="s">
        <v>24</v>
      </c>
      <c r="AN12" s="2"/>
      <c r="AO12" s="2" t="s">
        <v>25</v>
      </c>
      <c r="AP12" s="2" t="s">
        <v>1234</v>
      </c>
    </row>
    <row r="13" spans="1:42" ht="210" x14ac:dyDescent="0.25">
      <c r="A13" s="2" t="s">
        <v>1272</v>
      </c>
      <c r="B13" s="2" t="s">
        <v>1273</v>
      </c>
      <c r="C13" s="2">
        <v>1998</v>
      </c>
      <c r="D13" s="2" t="s">
        <v>128</v>
      </c>
      <c r="E13" s="2"/>
      <c r="F13" s="2"/>
      <c r="G13" s="2"/>
      <c r="H13" s="2"/>
      <c r="I13" s="2"/>
      <c r="J13" s="2"/>
      <c r="K13" s="2">
        <v>4</v>
      </c>
      <c r="L13" s="2"/>
      <c r="M13" s="12" t="s">
        <v>1274</v>
      </c>
      <c r="N13" s="4" t="s">
        <v>1275</v>
      </c>
      <c r="O13" s="2"/>
      <c r="P13" s="2"/>
      <c r="Q13" s="2"/>
      <c r="R13" s="2"/>
      <c r="S13" t="str">
        <f>INT(C13/10)*10 &amp; "s"</f>
        <v>1990s</v>
      </c>
      <c r="U13" t="s">
        <v>429</v>
      </c>
      <c r="Z13" t="str">
        <f t="shared" si="0"/>
        <v/>
      </c>
      <c r="AA13" s="2" t="s">
        <v>1371</v>
      </c>
      <c r="AB13" t="str">
        <f t="shared" si="2"/>
        <v/>
      </c>
      <c r="AC13" s="2"/>
      <c r="AD13" s="2"/>
      <c r="AE13" s="2"/>
      <c r="AF13" s="2"/>
      <c r="AG13" s="2"/>
      <c r="AH13" s="2"/>
      <c r="AI13" s="2"/>
      <c r="AJ13" s="2"/>
      <c r="AK13" t="s">
        <v>1687</v>
      </c>
      <c r="AL13" s="2" t="s">
        <v>29</v>
      </c>
      <c r="AM13" s="2" t="s">
        <v>24</v>
      </c>
      <c r="AN13" s="2"/>
      <c r="AO13" s="2" t="s">
        <v>25</v>
      </c>
      <c r="AP13" s="2" t="s">
        <v>1277</v>
      </c>
    </row>
    <row r="14" spans="1:42" ht="105" x14ac:dyDescent="0.25">
      <c r="A14" s="2" t="s">
        <v>1318</v>
      </c>
      <c r="B14" s="2" t="s">
        <v>1319</v>
      </c>
      <c r="C14" s="2">
        <v>1998</v>
      </c>
      <c r="D14" s="2" t="s">
        <v>128</v>
      </c>
      <c r="E14" s="2"/>
      <c r="F14" s="2"/>
      <c r="G14" s="2"/>
      <c r="H14" s="2"/>
      <c r="I14" s="2"/>
      <c r="J14" s="2"/>
      <c r="K14" s="2">
        <v>7</v>
      </c>
      <c r="L14" s="2"/>
      <c r="M14" s="12" t="s">
        <v>1320</v>
      </c>
      <c r="N14" s="14" t="s">
        <v>1321</v>
      </c>
      <c r="O14" s="2"/>
      <c r="P14" s="2"/>
      <c r="Q14" s="2"/>
      <c r="R14" s="2"/>
      <c r="S14" t="str">
        <f>INT(C14/10)*10 &amp; "s"</f>
        <v>1990s</v>
      </c>
      <c r="U14" t="str">
        <f>IF(AA14&lt;&gt;"","Simulation","Experiment")</f>
        <v>Experiment</v>
      </c>
      <c r="Z14" t="str">
        <f t="shared" si="0"/>
        <v/>
      </c>
      <c r="AA14" s="2"/>
      <c r="AB14" t="str">
        <f t="shared" si="2"/>
        <v>Local</v>
      </c>
      <c r="AC14" s="2"/>
      <c r="AD14" s="2"/>
      <c r="AE14" s="2"/>
      <c r="AF14" s="2"/>
      <c r="AG14" s="2"/>
      <c r="AH14" s="2"/>
      <c r="AI14" s="2"/>
      <c r="AJ14" s="2"/>
      <c r="AK14" t="s">
        <v>1322</v>
      </c>
      <c r="AL14" s="2" t="s">
        <v>29</v>
      </c>
      <c r="AM14" s="2" t="s">
        <v>24</v>
      </c>
      <c r="AN14" s="2"/>
      <c r="AO14" s="2" t="s">
        <v>25</v>
      </c>
      <c r="AP14" s="2" t="s">
        <v>1323</v>
      </c>
    </row>
    <row r="15" spans="1:42" ht="135" x14ac:dyDescent="0.25">
      <c r="A15" s="2" t="s">
        <v>1108</v>
      </c>
      <c r="B15" s="2" t="s">
        <v>1633</v>
      </c>
      <c r="C15" s="2">
        <v>1999</v>
      </c>
      <c r="D15" s="2" t="s">
        <v>175</v>
      </c>
      <c r="E15" s="2" t="s">
        <v>1110</v>
      </c>
      <c r="F15" s="2" t="s">
        <v>80</v>
      </c>
      <c r="G15" s="2"/>
      <c r="H15" s="2">
        <v>211</v>
      </c>
      <c r="I15" s="2">
        <v>219</v>
      </c>
      <c r="J15" s="2">
        <v>8</v>
      </c>
      <c r="K15" s="2">
        <v>28</v>
      </c>
      <c r="L15" s="2" t="s">
        <v>1111</v>
      </c>
      <c r="M15" s="12" t="s">
        <v>1112</v>
      </c>
      <c r="N15" s="14" t="s">
        <v>1113</v>
      </c>
      <c r="O15" s="2"/>
      <c r="P15" s="2"/>
      <c r="Q15" s="2"/>
      <c r="R15" s="2"/>
      <c r="S15" t="str">
        <f>INT(C15/10)*10 &amp; "s"</f>
        <v>1990s</v>
      </c>
      <c r="U15" t="str">
        <f>IF(AA15&lt;&gt;"","Simulation","Experiment")</f>
        <v>Experiment</v>
      </c>
      <c r="Z15" t="str">
        <f t="shared" si="0"/>
        <v/>
      </c>
      <c r="AA15" s="2"/>
      <c r="AB15" t="str">
        <f t="shared" si="2"/>
        <v>Local</v>
      </c>
      <c r="AC15" s="2"/>
      <c r="AD15" s="2"/>
      <c r="AE15" s="2"/>
      <c r="AF15" s="2"/>
      <c r="AG15" s="2"/>
      <c r="AH15" s="2"/>
      <c r="AI15" s="2"/>
      <c r="AJ15" s="2" t="s">
        <v>1114</v>
      </c>
      <c r="AK15" t="s">
        <v>1115</v>
      </c>
      <c r="AL15" s="2" t="s">
        <v>23</v>
      </c>
      <c r="AM15" s="2" t="s">
        <v>24</v>
      </c>
      <c r="AN15" s="2" t="s">
        <v>41</v>
      </c>
      <c r="AO15" s="2" t="s">
        <v>25</v>
      </c>
      <c r="AP15" s="2" t="s">
        <v>1116</v>
      </c>
    </row>
    <row r="16" spans="1:42" ht="135" hidden="1" x14ac:dyDescent="0.25">
      <c r="A16" s="2" t="s">
        <v>334</v>
      </c>
      <c r="B16" s="2" t="s">
        <v>335</v>
      </c>
      <c r="C16" s="2">
        <v>2024</v>
      </c>
      <c r="D16" s="2" t="s">
        <v>336</v>
      </c>
      <c r="E16" s="2" t="s">
        <v>337</v>
      </c>
      <c r="F16" s="2"/>
      <c r="G16" s="2" t="s">
        <v>338</v>
      </c>
      <c r="H16" s="2"/>
      <c r="I16" s="2"/>
      <c r="J16" s="2"/>
      <c r="K16" s="2">
        <v>0</v>
      </c>
      <c r="L16" s="2" t="s">
        <v>339</v>
      </c>
      <c r="M16" s="2" t="s">
        <v>340</v>
      </c>
      <c r="N16" s="7" t="s">
        <v>341</v>
      </c>
      <c r="O16" s="2"/>
      <c r="P16" s="2" t="s">
        <v>1371</v>
      </c>
      <c r="Q16" s="2"/>
      <c r="R16" s="2"/>
      <c r="S16" s="2"/>
      <c r="T16" s="2"/>
      <c r="U16" s="2"/>
      <c r="V16" s="2"/>
      <c r="W16" s="2"/>
      <c r="X16" s="2"/>
      <c r="Y16" s="2"/>
      <c r="Z16" t="str">
        <f t="shared" si="0"/>
        <v/>
      </c>
      <c r="AA16" s="2"/>
      <c r="AB16" s="2"/>
      <c r="AC16" s="2"/>
      <c r="AD16" s="2"/>
      <c r="AE16" s="2"/>
      <c r="AF16" s="2"/>
      <c r="AG16" s="2"/>
      <c r="AH16" s="2"/>
      <c r="AI16" s="2" t="s">
        <v>342</v>
      </c>
      <c r="AJ16" s="2"/>
      <c r="AK16" t="s">
        <v>343</v>
      </c>
      <c r="AL16" s="2" t="s">
        <v>23</v>
      </c>
      <c r="AM16" s="2" t="s">
        <v>24</v>
      </c>
      <c r="AN16" s="2" t="s">
        <v>64</v>
      </c>
      <c r="AO16" s="2" t="s">
        <v>25</v>
      </c>
      <c r="AP16" s="2" t="s">
        <v>344</v>
      </c>
    </row>
    <row r="17" spans="1:42" ht="210" x14ac:dyDescent="0.25">
      <c r="A17" s="2" t="s">
        <v>1213</v>
      </c>
      <c r="B17" s="2" t="s">
        <v>1214</v>
      </c>
      <c r="C17" s="2">
        <v>1999</v>
      </c>
      <c r="D17" s="2" t="s">
        <v>388</v>
      </c>
      <c r="E17" s="2"/>
      <c r="F17" s="2" t="s">
        <v>1215</v>
      </c>
      <c r="G17" s="2"/>
      <c r="H17" s="2">
        <v>32</v>
      </c>
      <c r="I17" s="2">
        <v>51</v>
      </c>
      <c r="J17" s="2">
        <v>19</v>
      </c>
      <c r="K17" s="2">
        <v>4</v>
      </c>
      <c r="L17" s="2" t="s">
        <v>1216</v>
      </c>
      <c r="M17" s="12" t="s">
        <v>1217</v>
      </c>
      <c r="N17" s="23" t="s">
        <v>1414</v>
      </c>
      <c r="O17" s="2"/>
      <c r="P17" s="2"/>
      <c r="Q17" s="2"/>
      <c r="R17" s="2"/>
      <c r="S17" t="str">
        <f>INT(C17/10)*10 &amp; "s"</f>
        <v>1990s</v>
      </c>
      <c r="U17" t="str">
        <f>IF(AA17&lt;&gt;"","Simulation","Experiment")</f>
        <v>Experiment</v>
      </c>
      <c r="Z17" t="str">
        <f t="shared" si="0"/>
        <v/>
      </c>
      <c r="AA17" s="2"/>
      <c r="AB17" t="str">
        <f>IF(AA17="1D","Bulk",
IF(AA17="x","","Local"))</f>
        <v>Local</v>
      </c>
      <c r="AC17" s="2"/>
      <c r="AD17" s="2"/>
      <c r="AE17" s="2"/>
      <c r="AF17" s="2"/>
      <c r="AG17" s="2"/>
      <c r="AH17" s="2"/>
      <c r="AI17" s="2"/>
      <c r="AJ17" s="2" t="s">
        <v>1218</v>
      </c>
      <c r="AK17" t="s">
        <v>1688</v>
      </c>
      <c r="AL17" s="2" t="s">
        <v>23</v>
      </c>
      <c r="AM17" s="2" t="s">
        <v>24</v>
      </c>
      <c r="AN17" s="2"/>
      <c r="AO17" s="2" t="s">
        <v>25</v>
      </c>
      <c r="AP17" s="2" t="s">
        <v>1220</v>
      </c>
    </row>
    <row r="18" spans="1:42" ht="105" x14ac:dyDescent="0.25">
      <c r="A18" s="2" t="s">
        <v>1102</v>
      </c>
      <c r="B18" s="2" t="s">
        <v>1103</v>
      </c>
      <c r="C18" s="2">
        <v>2001</v>
      </c>
      <c r="D18" s="2" t="s">
        <v>128</v>
      </c>
      <c r="E18" s="2"/>
      <c r="F18" s="2"/>
      <c r="G18" s="2"/>
      <c r="H18" s="2"/>
      <c r="I18" s="2"/>
      <c r="J18" s="2"/>
      <c r="K18" s="2">
        <v>4</v>
      </c>
      <c r="L18" s="2"/>
      <c r="M18" s="12" t="s">
        <v>1104</v>
      </c>
      <c r="N18" s="14" t="s">
        <v>1105</v>
      </c>
      <c r="O18" s="2"/>
      <c r="P18" s="2"/>
      <c r="Q18" s="2"/>
      <c r="R18" s="2"/>
      <c r="S18" t="str">
        <f>INT(C18/10)*10 &amp; "s"</f>
        <v>2000s</v>
      </c>
      <c r="U18" t="str">
        <f>IF(AA18&lt;&gt;"","Simulation","Experiment")</f>
        <v>Experiment</v>
      </c>
      <c r="Z18" t="str">
        <f t="shared" si="0"/>
        <v/>
      </c>
      <c r="AA18" s="2"/>
      <c r="AB18" t="str">
        <f>IF(AA18="1D","Bulk",
IF(AA18="x","","Local"))</f>
        <v>Local</v>
      </c>
      <c r="AC18" s="2"/>
      <c r="AD18" s="2"/>
      <c r="AE18" s="2"/>
      <c r="AF18" s="2"/>
      <c r="AG18" s="2"/>
      <c r="AH18" s="2"/>
      <c r="AI18" s="2"/>
      <c r="AJ18" s="2"/>
      <c r="AK18" t="s">
        <v>1106</v>
      </c>
      <c r="AL18" s="2" t="s">
        <v>29</v>
      </c>
      <c r="AM18" s="2" t="s">
        <v>24</v>
      </c>
      <c r="AN18" s="2"/>
      <c r="AO18" s="2" t="s">
        <v>25</v>
      </c>
      <c r="AP18" s="2" t="s">
        <v>1107</v>
      </c>
    </row>
    <row r="19" spans="1:42" ht="195" x14ac:dyDescent="0.25">
      <c r="A19" s="2" t="s">
        <v>1278</v>
      </c>
      <c r="B19" s="2" t="s">
        <v>1279</v>
      </c>
      <c r="C19" s="2">
        <v>2003</v>
      </c>
      <c r="D19" s="2" t="s">
        <v>1280</v>
      </c>
      <c r="E19" s="2"/>
      <c r="F19" s="2" t="s">
        <v>1281</v>
      </c>
      <c r="G19" s="2"/>
      <c r="H19" s="2">
        <v>5</v>
      </c>
      <c r="I19" s="2">
        <v>63</v>
      </c>
      <c r="J19" s="2">
        <v>58</v>
      </c>
      <c r="K19" s="2">
        <v>0</v>
      </c>
      <c r="L19" s="2"/>
      <c r="M19" s="12" t="s">
        <v>1282</v>
      </c>
      <c r="N19" s="23" t="s">
        <v>1283</v>
      </c>
      <c r="O19" s="2"/>
      <c r="P19" s="2"/>
      <c r="Q19" s="2"/>
      <c r="R19" s="2"/>
      <c r="S19" t="str">
        <f>INT(C19/10)*10 &amp; "s"</f>
        <v>2000s</v>
      </c>
      <c r="U19" t="str">
        <f>IF(AA19&lt;&gt;"","Simulation","Experiment")</f>
        <v>Simulation</v>
      </c>
      <c r="Z19" t="str">
        <f t="shared" si="0"/>
        <v/>
      </c>
      <c r="AA19" s="2" t="s">
        <v>1515</v>
      </c>
      <c r="AB19" t="str">
        <f>IF(AA19="1D","Bulk",
IF(AA19="x","","Local"))</f>
        <v>Local</v>
      </c>
      <c r="AC19" s="2" t="s">
        <v>1516</v>
      </c>
      <c r="AD19" s="2" t="s">
        <v>1517</v>
      </c>
      <c r="AE19" s="2" t="s">
        <v>1518</v>
      </c>
      <c r="AF19" s="2"/>
      <c r="AG19" s="2" t="s">
        <v>1508</v>
      </c>
      <c r="AH19" s="2" t="s">
        <v>1519</v>
      </c>
      <c r="AI19" s="2" t="s">
        <v>1284</v>
      </c>
      <c r="AJ19" s="2" t="s">
        <v>1285</v>
      </c>
      <c r="AK19" t="s">
        <v>1689</v>
      </c>
      <c r="AL19" s="2" t="s">
        <v>23</v>
      </c>
      <c r="AM19" s="2" t="s">
        <v>24</v>
      </c>
      <c r="AN19" s="2"/>
      <c r="AO19" s="2" t="s">
        <v>25</v>
      </c>
      <c r="AP19" s="2" t="s">
        <v>1287</v>
      </c>
    </row>
    <row r="20" spans="1:42" ht="120" hidden="1" x14ac:dyDescent="0.25">
      <c r="A20" s="2" t="s">
        <v>490</v>
      </c>
      <c r="B20" s="2" t="s">
        <v>491</v>
      </c>
      <c r="C20" s="2">
        <v>2024</v>
      </c>
      <c r="D20" s="2" t="s">
        <v>492</v>
      </c>
      <c r="E20" s="2" t="s">
        <v>261</v>
      </c>
      <c r="F20" s="2" t="s">
        <v>72</v>
      </c>
      <c r="G20" s="2"/>
      <c r="H20" s="2">
        <v>1067</v>
      </c>
      <c r="I20" s="2">
        <v>1078</v>
      </c>
      <c r="J20" s="2">
        <v>11</v>
      </c>
      <c r="K20" s="2">
        <v>0</v>
      </c>
      <c r="L20" s="2" t="s">
        <v>493</v>
      </c>
      <c r="M20" s="2" t="s">
        <v>494</v>
      </c>
      <c r="N20" s="7" t="s">
        <v>495</v>
      </c>
      <c r="O20" s="2"/>
      <c r="P20" s="2" t="s">
        <v>1371</v>
      </c>
      <c r="Q20" s="2"/>
      <c r="R20" s="2"/>
      <c r="S20" s="2"/>
      <c r="T20" s="2"/>
      <c r="U20" s="2"/>
      <c r="V20" s="2"/>
      <c r="W20" s="2"/>
      <c r="X20" s="2"/>
      <c r="Y20" s="2"/>
      <c r="Z20" t="str">
        <f t="shared" si="0"/>
        <v/>
      </c>
      <c r="AA20" s="2"/>
      <c r="AB20" s="2"/>
      <c r="AC20" s="2"/>
      <c r="AD20" s="2"/>
      <c r="AE20" s="2"/>
      <c r="AF20" s="2"/>
      <c r="AG20" s="2"/>
      <c r="AH20" s="2"/>
      <c r="AI20" s="2" t="s">
        <v>496</v>
      </c>
      <c r="AJ20" s="2"/>
      <c r="AK20" t="s">
        <v>497</v>
      </c>
      <c r="AL20" s="2" t="s">
        <v>23</v>
      </c>
      <c r="AM20" s="2" t="s">
        <v>24</v>
      </c>
      <c r="AN20" s="2" t="s">
        <v>64</v>
      </c>
      <c r="AO20" s="2" t="s">
        <v>25</v>
      </c>
      <c r="AP20" s="2" t="s">
        <v>498</v>
      </c>
    </row>
    <row r="21" spans="1:42" ht="150" x14ac:dyDescent="0.25">
      <c r="A21" s="2" t="s">
        <v>1120</v>
      </c>
      <c r="B21" s="2" t="s">
        <v>1121</v>
      </c>
      <c r="C21" s="2">
        <v>2004</v>
      </c>
      <c r="D21" s="2" t="s">
        <v>128</v>
      </c>
      <c r="E21" s="2"/>
      <c r="F21" s="2"/>
      <c r="G21" s="2"/>
      <c r="H21" s="2"/>
      <c r="I21" s="2"/>
      <c r="J21" s="2"/>
      <c r="K21" s="2">
        <v>7</v>
      </c>
      <c r="L21" s="2"/>
      <c r="M21" s="12" t="s">
        <v>1122</v>
      </c>
      <c r="N21" s="14" t="s">
        <v>1123</v>
      </c>
      <c r="O21" s="2"/>
      <c r="P21" s="2"/>
      <c r="Q21" s="2"/>
      <c r="R21" s="2"/>
      <c r="S21" t="str">
        <f>INT(C21/10)*10 &amp; "s"</f>
        <v>2000s</v>
      </c>
      <c r="U21" t="str">
        <f>IF(AA21&lt;&gt;"","Simulation","Experiment")</f>
        <v>Experiment</v>
      </c>
      <c r="Z21" t="str">
        <f t="shared" si="0"/>
        <v/>
      </c>
      <c r="AA21" s="2"/>
      <c r="AB21" t="str">
        <f>IF(AA21="1D","Bulk",
IF(AA21="x","","Local"))</f>
        <v>Local</v>
      </c>
      <c r="AC21" s="2"/>
      <c r="AD21" s="2"/>
      <c r="AE21" s="2"/>
      <c r="AF21" s="2"/>
      <c r="AG21" s="2"/>
      <c r="AH21" s="2"/>
      <c r="AI21" s="2"/>
      <c r="AJ21" s="2"/>
      <c r="AK21" t="s">
        <v>1124</v>
      </c>
      <c r="AL21" s="2" t="s">
        <v>29</v>
      </c>
      <c r="AM21" s="2" t="s">
        <v>24</v>
      </c>
      <c r="AN21" s="2"/>
      <c r="AO21" s="2" t="s">
        <v>25</v>
      </c>
      <c r="AP21" s="2" t="s">
        <v>1125</v>
      </c>
    </row>
    <row r="22" spans="1:42" ht="210" hidden="1" x14ac:dyDescent="0.25">
      <c r="A22" s="2" t="s">
        <v>55</v>
      </c>
      <c r="B22" s="2" t="s">
        <v>56</v>
      </c>
      <c r="C22" s="2">
        <v>2023</v>
      </c>
      <c r="D22" s="2" t="s">
        <v>57</v>
      </c>
      <c r="E22" s="2" t="s">
        <v>58</v>
      </c>
      <c r="F22" s="2"/>
      <c r="G22" s="2"/>
      <c r="H22" s="2">
        <v>157</v>
      </c>
      <c r="I22" s="2">
        <v>175</v>
      </c>
      <c r="J22" s="2">
        <v>18</v>
      </c>
      <c r="K22" s="2">
        <v>6</v>
      </c>
      <c r="L22" s="2" t="s">
        <v>59</v>
      </c>
      <c r="M22" s="2" t="s">
        <v>60</v>
      </c>
      <c r="N22" s="7" t="s">
        <v>61</v>
      </c>
      <c r="O22" s="7"/>
      <c r="P22" s="7" t="s">
        <v>1371</v>
      </c>
      <c r="Q22" s="7"/>
      <c r="R22" s="7"/>
      <c r="S22" s="7"/>
      <c r="T22" s="7"/>
      <c r="U22" s="7"/>
      <c r="V22" s="7"/>
      <c r="W22" s="7"/>
      <c r="X22" s="7"/>
      <c r="Y22" s="7"/>
      <c r="Z22" t="str">
        <f t="shared" si="0"/>
        <v/>
      </c>
      <c r="AA22" s="7"/>
      <c r="AB22" s="7"/>
      <c r="AC22" s="7"/>
      <c r="AD22" s="7"/>
      <c r="AE22" s="7"/>
      <c r="AF22" s="7"/>
      <c r="AG22" s="7"/>
      <c r="AH22" s="7"/>
      <c r="AI22" s="2"/>
      <c r="AJ22" s="2" t="s">
        <v>62</v>
      </c>
      <c r="AK22" t="s">
        <v>63</v>
      </c>
      <c r="AL22" s="2" t="s">
        <v>23</v>
      </c>
      <c r="AM22" s="2" t="s">
        <v>24</v>
      </c>
      <c r="AN22" s="2" t="s">
        <v>64</v>
      </c>
      <c r="AO22" s="2" t="s">
        <v>25</v>
      </c>
      <c r="AP22" s="2" t="s">
        <v>65</v>
      </c>
    </row>
    <row r="23" spans="1:42" ht="150" hidden="1" x14ac:dyDescent="0.25">
      <c r="A23" s="2" t="s">
        <v>99</v>
      </c>
      <c r="B23" s="2" t="s">
        <v>100</v>
      </c>
      <c r="C23" s="2">
        <v>2023</v>
      </c>
      <c r="D23" s="2" t="s">
        <v>26</v>
      </c>
      <c r="E23" s="2" t="s">
        <v>27</v>
      </c>
      <c r="F23" s="2" t="s">
        <v>28</v>
      </c>
      <c r="G23" s="2" t="s">
        <v>101</v>
      </c>
      <c r="H23" s="2"/>
      <c r="I23" s="2"/>
      <c r="J23" s="2"/>
      <c r="K23" s="2">
        <v>0</v>
      </c>
      <c r="L23" s="2" t="s">
        <v>102</v>
      </c>
      <c r="M23" s="2" t="s">
        <v>103</v>
      </c>
      <c r="N23" s="7" t="s">
        <v>104</v>
      </c>
      <c r="O23" s="2"/>
      <c r="P23" s="2" t="s">
        <v>1371</v>
      </c>
      <c r="Q23" s="2"/>
      <c r="R23" s="2"/>
      <c r="S23" s="2"/>
      <c r="T23" s="2"/>
      <c r="U23" s="2"/>
      <c r="V23" s="2"/>
      <c r="W23" s="2"/>
      <c r="X23" s="2"/>
      <c r="Y23" s="2"/>
      <c r="Z23" t="str">
        <f t="shared" si="0"/>
        <v/>
      </c>
      <c r="AA23" s="2"/>
      <c r="AB23" s="2"/>
      <c r="AC23" s="2"/>
      <c r="AD23" s="2"/>
      <c r="AE23" s="2"/>
      <c r="AF23" s="2"/>
      <c r="AG23" s="2"/>
      <c r="AH23" s="2"/>
      <c r="AI23" s="2"/>
      <c r="AJ23" s="2" t="s">
        <v>105</v>
      </c>
      <c r="AK23" t="s">
        <v>106</v>
      </c>
      <c r="AL23" s="2" t="s">
        <v>29</v>
      </c>
      <c r="AM23" s="2" t="s">
        <v>24</v>
      </c>
      <c r="AN23" s="2" t="s">
        <v>30</v>
      </c>
      <c r="AO23" s="2" t="s">
        <v>25</v>
      </c>
      <c r="AP23" s="2" t="s">
        <v>107</v>
      </c>
    </row>
    <row r="24" spans="1:42" ht="105" x14ac:dyDescent="0.25">
      <c r="A24" s="2" t="s">
        <v>1324</v>
      </c>
      <c r="B24" s="2" t="s">
        <v>1325</v>
      </c>
      <c r="C24" s="2">
        <v>2004</v>
      </c>
      <c r="D24" s="2" t="s">
        <v>128</v>
      </c>
      <c r="E24" s="2"/>
      <c r="F24" s="2"/>
      <c r="G24" s="2"/>
      <c r="H24" s="2"/>
      <c r="I24" s="2"/>
      <c r="J24" s="2"/>
      <c r="K24" s="2">
        <v>12</v>
      </c>
      <c r="L24" s="2"/>
      <c r="M24" s="2" t="s">
        <v>1326</v>
      </c>
      <c r="N24" s="6" t="s">
        <v>1327</v>
      </c>
      <c r="O24" s="2"/>
      <c r="P24" s="2"/>
      <c r="Q24" s="2"/>
      <c r="R24" s="2"/>
      <c r="S24" t="str">
        <f>INT(C24/10)*10 &amp; "s"</f>
        <v>2000s</v>
      </c>
      <c r="U24" t="str">
        <f>IF(AA24&lt;&gt;"","Simulation","Experiment")</f>
        <v>Simulation</v>
      </c>
      <c r="V24" t="s">
        <v>1612</v>
      </c>
      <c r="W24" t="s">
        <v>1685</v>
      </c>
      <c r="Z24" t="str">
        <f t="shared" si="0"/>
        <v/>
      </c>
      <c r="AA24" t="s">
        <v>1511</v>
      </c>
      <c r="AB24" t="str">
        <f t="shared" ref="AB24:AB36" si="3">IF(AA24="1D","Bulk",
IF(AA24="x","","Local"))</f>
        <v>Local</v>
      </c>
      <c r="AC24" s="2" t="s">
        <v>1502</v>
      </c>
      <c r="AD24" s="2" t="s">
        <v>1512</v>
      </c>
      <c r="AE24" s="2" t="s">
        <v>1513</v>
      </c>
      <c r="AF24" s="2"/>
      <c r="AG24" s="2" t="s">
        <v>1508</v>
      </c>
      <c r="AH24" s="2" t="s">
        <v>1514</v>
      </c>
      <c r="AI24" s="2"/>
      <c r="AJ24" s="2"/>
      <c r="AK24" t="s">
        <v>1690</v>
      </c>
      <c r="AL24" s="2" t="s">
        <v>29</v>
      </c>
      <c r="AM24" s="2" t="s">
        <v>24</v>
      </c>
      <c r="AN24" s="2"/>
      <c r="AO24" s="2" t="s">
        <v>25</v>
      </c>
      <c r="AP24" s="2" t="s">
        <v>1329</v>
      </c>
    </row>
    <row r="25" spans="1:42" ht="150" x14ac:dyDescent="0.25">
      <c r="A25" s="2" t="s">
        <v>1194</v>
      </c>
      <c r="B25" s="2" t="s">
        <v>1195</v>
      </c>
      <c r="C25" s="2">
        <v>2005</v>
      </c>
      <c r="D25" s="2" t="s">
        <v>1139</v>
      </c>
      <c r="E25" s="2" t="s">
        <v>84</v>
      </c>
      <c r="F25" s="2" t="s">
        <v>80</v>
      </c>
      <c r="G25" s="2"/>
      <c r="H25" s="2">
        <v>269</v>
      </c>
      <c r="I25" s="2">
        <v>287</v>
      </c>
      <c r="J25" s="2">
        <v>18</v>
      </c>
      <c r="K25" s="2">
        <v>15</v>
      </c>
      <c r="L25" s="2" t="s">
        <v>1196</v>
      </c>
      <c r="M25" s="12" t="s">
        <v>1197</v>
      </c>
      <c r="N25" s="14" t="s">
        <v>1198</v>
      </c>
      <c r="O25" s="2"/>
      <c r="P25" s="2"/>
      <c r="Q25" s="2"/>
      <c r="R25" s="2"/>
      <c r="S25" t="str">
        <f>INT(C25/10)*10 &amp; "s"</f>
        <v>2000s</v>
      </c>
      <c r="U25" t="str">
        <f>IF(AA25&lt;&gt;"","Simulation","Experiment")</f>
        <v>Experiment</v>
      </c>
      <c r="Z25" t="str">
        <f t="shared" si="0"/>
        <v/>
      </c>
      <c r="AA25" s="2"/>
      <c r="AB25" t="str">
        <f t="shared" si="3"/>
        <v>Local</v>
      </c>
      <c r="AC25" s="2"/>
      <c r="AD25" s="2"/>
      <c r="AE25" s="2"/>
      <c r="AF25" s="2"/>
      <c r="AG25" s="2"/>
      <c r="AH25" s="2"/>
      <c r="AI25" s="2" t="s">
        <v>1199</v>
      </c>
      <c r="AJ25" s="2" t="s">
        <v>1200</v>
      </c>
      <c r="AK25" t="s">
        <v>1201</v>
      </c>
      <c r="AL25" s="2" t="s">
        <v>23</v>
      </c>
      <c r="AM25" s="2" t="s">
        <v>24</v>
      </c>
      <c r="AN25" s="2"/>
      <c r="AO25" s="2" t="s">
        <v>25</v>
      </c>
      <c r="AP25" s="2" t="s">
        <v>1202</v>
      </c>
    </row>
    <row r="26" spans="1:42" ht="315" x14ac:dyDescent="0.25">
      <c r="A26" s="2" t="s">
        <v>1241</v>
      </c>
      <c r="B26" s="2" t="s">
        <v>1242</v>
      </c>
      <c r="C26" s="2">
        <v>2005</v>
      </c>
      <c r="D26" s="2" t="s">
        <v>1139</v>
      </c>
      <c r="E26" s="2" t="s">
        <v>1243</v>
      </c>
      <c r="F26" s="2" t="s">
        <v>22</v>
      </c>
      <c r="G26" s="2"/>
      <c r="H26" s="2">
        <v>145</v>
      </c>
      <c r="I26" s="2">
        <v>169</v>
      </c>
      <c r="J26" s="2">
        <v>24</v>
      </c>
      <c r="K26" s="2">
        <v>0</v>
      </c>
      <c r="L26" s="2" t="s">
        <v>1244</v>
      </c>
      <c r="M26" s="2" t="s">
        <v>1245</v>
      </c>
      <c r="N26" s="4" t="s">
        <v>1246</v>
      </c>
      <c r="O26" s="2"/>
      <c r="P26" s="2"/>
      <c r="Q26" s="2"/>
      <c r="R26" s="2"/>
      <c r="S26" t="str">
        <f>INT(C26/10)*10 &amp; "s"</f>
        <v>2000s</v>
      </c>
      <c r="U26" t="str">
        <f>IF(AA26&lt;&gt;"","Simulation","Experiment")</f>
        <v>Experiment</v>
      </c>
      <c r="X26" t="s">
        <v>1611</v>
      </c>
      <c r="Z26" t="str">
        <f t="shared" si="0"/>
        <v/>
      </c>
      <c r="AA26" s="2"/>
      <c r="AB26" t="str">
        <f t="shared" si="3"/>
        <v>Local</v>
      </c>
      <c r="AC26" s="2"/>
      <c r="AD26" s="2"/>
      <c r="AE26" s="2"/>
      <c r="AF26" s="2"/>
      <c r="AG26" s="2"/>
      <c r="AH26" s="2"/>
      <c r="AI26" s="2" t="s">
        <v>1247</v>
      </c>
      <c r="AJ26" s="2"/>
      <c r="AK26" t="s">
        <v>1248</v>
      </c>
      <c r="AL26" s="2" t="s">
        <v>23</v>
      </c>
      <c r="AM26" s="2" t="s">
        <v>24</v>
      </c>
      <c r="AN26" s="2"/>
      <c r="AO26" s="2" t="s">
        <v>25</v>
      </c>
      <c r="AP26" s="2" t="s">
        <v>1249</v>
      </c>
    </row>
    <row r="27" spans="1:42" ht="165" x14ac:dyDescent="0.25">
      <c r="A27" s="2" t="s">
        <v>1150</v>
      </c>
      <c r="B27" s="2" t="s">
        <v>1151</v>
      </c>
      <c r="C27" s="2">
        <v>2006</v>
      </c>
      <c r="D27" s="2" t="s">
        <v>1152</v>
      </c>
      <c r="E27" s="2"/>
      <c r="F27" s="2"/>
      <c r="G27" s="2"/>
      <c r="H27" s="2">
        <v>535</v>
      </c>
      <c r="I27" s="2">
        <v>542</v>
      </c>
      <c r="J27" s="2">
        <v>7</v>
      </c>
      <c r="K27" s="2">
        <v>2</v>
      </c>
      <c r="L27" s="2"/>
      <c r="M27" s="2" t="s">
        <v>1153</v>
      </c>
      <c r="N27" s="4" t="s">
        <v>1634</v>
      </c>
      <c r="O27" s="2"/>
      <c r="P27" s="2"/>
      <c r="Q27" s="2"/>
      <c r="R27" s="2"/>
      <c r="S27" t="str">
        <f>INT(C27/10)*10 &amp; "s"</f>
        <v>2000s</v>
      </c>
      <c r="T27" t="s">
        <v>1604</v>
      </c>
      <c r="U27" t="s">
        <v>1601</v>
      </c>
      <c r="Z27" t="str">
        <f t="shared" si="0"/>
        <v/>
      </c>
      <c r="AA27" s="2"/>
      <c r="AB27" t="str">
        <f t="shared" si="3"/>
        <v>Local</v>
      </c>
      <c r="AC27" s="2"/>
      <c r="AD27" s="2"/>
      <c r="AE27" s="2"/>
      <c r="AF27" s="2"/>
      <c r="AG27" s="2"/>
      <c r="AH27" s="2"/>
      <c r="AI27" s="2"/>
      <c r="AJ27" s="2" t="s">
        <v>1155</v>
      </c>
      <c r="AK27" t="s">
        <v>1156</v>
      </c>
      <c r="AL27" s="2" t="s">
        <v>29</v>
      </c>
      <c r="AM27" s="2" t="s">
        <v>24</v>
      </c>
      <c r="AN27" s="2"/>
      <c r="AO27" s="2" t="s">
        <v>25</v>
      </c>
      <c r="AP27" s="2" t="s">
        <v>1157</v>
      </c>
    </row>
    <row r="28" spans="1:42" ht="45" x14ac:dyDescent="0.25">
      <c r="A28" t="s">
        <v>1426</v>
      </c>
      <c r="B28" s="4" t="s">
        <v>1427</v>
      </c>
      <c r="C28" s="28">
        <v>2007</v>
      </c>
      <c r="D28" s="2" t="s">
        <v>1434</v>
      </c>
      <c r="E28">
        <v>2007</v>
      </c>
      <c r="F28" s="27"/>
      <c r="G28" s="27"/>
      <c r="H28" s="27"/>
      <c r="I28" s="27"/>
      <c r="J28" s="27"/>
      <c r="K28" s="27"/>
      <c r="L28" t="s">
        <v>1450</v>
      </c>
      <c r="M28" s="27"/>
      <c r="N28" s="2" t="s">
        <v>1431</v>
      </c>
      <c r="O28" s="27"/>
      <c r="P28" s="27"/>
      <c r="Q28" s="28" t="s">
        <v>1463</v>
      </c>
      <c r="R28" s="28"/>
      <c r="S28" t="str">
        <f>INT(C28/10)*10 &amp; "s"</f>
        <v>2000s</v>
      </c>
      <c r="U28" t="str">
        <f>IF(AA28&lt;&gt;"","Simulation","Experiment")</f>
        <v>Simulation</v>
      </c>
      <c r="V28" t="s">
        <v>1619</v>
      </c>
      <c r="W28" t="s">
        <v>1685</v>
      </c>
      <c r="Z28" t="str">
        <f t="shared" si="0"/>
        <v/>
      </c>
      <c r="AA28" s="31" t="s">
        <v>1507</v>
      </c>
      <c r="AB28" t="str">
        <f t="shared" si="3"/>
        <v>Local</v>
      </c>
      <c r="AC28" s="2" t="s">
        <v>1529</v>
      </c>
      <c r="AD28" s="32" t="s">
        <v>1534</v>
      </c>
      <c r="AE28" s="32" t="s">
        <v>1538</v>
      </c>
      <c r="AF28" s="31" t="s">
        <v>1539</v>
      </c>
      <c r="AG28" s="31"/>
      <c r="AH28" s="32" t="s">
        <v>1540</v>
      </c>
      <c r="AI28" s="27"/>
      <c r="AJ28" s="27"/>
      <c r="AK28" s="27"/>
      <c r="AL28" s="27"/>
      <c r="AM28" s="27"/>
      <c r="AN28" s="27"/>
      <c r="AO28" s="27"/>
      <c r="AP28" s="27"/>
    </row>
    <row r="29" spans="1:42" ht="135" x14ac:dyDescent="0.25">
      <c r="A29" s="2" t="s">
        <v>713</v>
      </c>
      <c r="B29" s="2" t="s">
        <v>714</v>
      </c>
      <c r="C29" s="2">
        <v>2007</v>
      </c>
      <c r="D29" s="2" t="s">
        <v>715</v>
      </c>
      <c r="E29" s="2"/>
      <c r="F29" s="2"/>
      <c r="G29" s="2"/>
      <c r="H29" s="2">
        <v>1748</v>
      </c>
      <c r="I29" s="2">
        <v>1755</v>
      </c>
      <c r="J29" s="2">
        <v>7</v>
      </c>
      <c r="K29" s="2">
        <v>1</v>
      </c>
      <c r="L29" s="2"/>
      <c r="M29" s="12" t="s">
        <v>716</v>
      </c>
      <c r="N29" s="14" t="s">
        <v>1635</v>
      </c>
      <c r="O29" s="2"/>
      <c r="P29" s="2"/>
      <c r="Q29" s="2"/>
      <c r="R29" s="2"/>
      <c r="S29" t="str">
        <f>INT(C29/10)*10 &amp; "s"</f>
        <v>2000s</v>
      </c>
      <c r="T29" t="s">
        <v>1602</v>
      </c>
      <c r="U29" t="s">
        <v>1601</v>
      </c>
      <c r="V29" t="s">
        <v>1619</v>
      </c>
      <c r="W29" t="s">
        <v>1359</v>
      </c>
      <c r="Z29" t="str">
        <f t="shared" si="0"/>
        <v/>
      </c>
      <c r="AA29" s="2"/>
      <c r="AB29" t="str">
        <f t="shared" si="3"/>
        <v>Local</v>
      </c>
      <c r="AC29" s="2"/>
      <c r="AD29" s="2"/>
      <c r="AE29" s="2"/>
      <c r="AF29" s="2"/>
      <c r="AG29" s="2"/>
      <c r="AH29" s="2"/>
      <c r="AI29" s="2" t="s">
        <v>718</v>
      </c>
      <c r="AJ29" s="2" t="s">
        <v>719</v>
      </c>
      <c r="AK29" t="s">
        <v>720</v>
      </c>
      <c r="AL29" s="2" t="s">
        <v>29</v>
      </c>
      <c r="AM29" s="2" t="s">
        <v>24</v>
      </c>
      <c r="AN29" s="2"/>
      <c r="AO29" s="2" t="s">
        <v>25</v>
      </c>
      <c r="AP29" s="2" t="s">
        <v>721</v>
      </c>
    </row>
    <row r="30" spans="1:42" ht="180" x14ac:dyDescent="0.25">
      <c r="A30" s="2" t="s">
        <v>929</v>
      </c>
      <c r="B30" s="2" t="s">
        <v>930</v>
      </c>
      <c r="C30" s="2">
        <v>2007</v>
      </c>
      <c r="D30" s="2" t="s">
        <v>175</v>
      </c>
      <c r="E30" s="2" t="s">
        <v>931</v>
      </c>
      <c r="F30" s="2" t="s">
        <v>398</v>
      </c>
      <c r="G30" s="2"/>
      <c r="H30" s="2">
        <v>1131</v>
      </c>
      <c r="I30" s="2">
        <v>1139</v>
      </c>
      <c r="J30" s="2">
        <v>8</v>
      </c>
      <c r="K30" s="2">
        <v>17</v>
      </c>
      <c r="L30" s="2" t="s">
        <v>932</v>
      </c>
      <c r="M30" s="12" t="s">
        <v>933</v>
      </c>
      <c r="N30" s="29" t="s">
        <v>934</v>
      </c>
      <c r="O30" s="2"/>
      <c r="P30" s="2"/>
      <c r="Q30" s="2"/>
      <c r="R30" s="2"/>
      <c r="S30" t="str">
        <f>INT(C30/10)*10 &amp; "s"</f>
        <v>2000s</v>
      </c>
      <c r="T30" s="35"/>
      <c r="U30" t="s">
        <v>1618</v>
      </c>
      <c r="V30" s="35" t="s">
        <v>1613</v>
      </c>
      <c r="W30" s="35" t="s">
        <v>1359</v>
      </c>
      <c r="X30" s="35"/>
      <c r="Y30" s="35"/>
      <c r="Z30" s="35" t="str">
        <f t="shared" si="0"/>
        <v/>
      </c>
      <c r="AA30" s="19" t="s">
        <v>1371</v>
      </c>
      <c r="AB30" s="35" t="str">
        <f t="shared" si="3"/>
        <v/>
      </c>
      <c r="AC30" s="2"/>
      <c r="AD30" s="2"/>
      <c r="AE30" s="2"/>
      <c r="AF30" s="2"/>
      <c r="AG30" s="2"/>
      <c r="AH30" s="2"/>
      <c r="AI30" s="2" t="s">
        <v>935</v>
      </c>
      <c r="AJ30" s="2" t="s">
        <v>936</v>
      </c>
      <c r="AK30" t="s">
        <v>937</v>
      </c>
      <c r="AL30" s="2" t="s">
        <v>23</v>
      </c>
      <c r="AM30" s="2" t="s">
        <v>24</v>
      </c>
      <c r="AN30" s="2"/>
      <c r="AO30" s="2" t="s">
        <v>25</v>
      </c>
      <c r="AP30" s="2" t="s">
        <v>938</v>
      </c>
    </row>
    <row r="31" spans="1:42" ht="135" x14ac:dyDescent="0.25">
      <c r="A31" s="2" t="s">
        <v>1047</v>
      </c>
      <c r="B31" s="2" t="s">
        <v>1048</v>
      </c>
      <c r="C31" s="2">
        <v>2007</v>
      </c>
      <c r="D31" s="2" t="s">
        <v>175</v>
      </c>
      <c r="E31" s="2" t="s">
        <v>931</v>
      </c>
      <c r="F31" s="2" t="s">
        <v>87</v>
      </c>
      <c r="G31" s="2"/>
      <c r="H31" s="2">
        <v>1047</v>
      </c>
      <c r="I31" s="2">
        <v>1054</v>
      </c>
      <c r="J31" s="2">
        <v>7</v>
      </c>
      <c r="K31" s="2">
        <v>28</v>
      </c>
      <c r="L31" s="2" t="s">
        <v>1049</v>
      </c>
      <c r="M31" s="2" t="s">
        <v>1050</v>
      </c>
      <c r="N31" s="4" t="s">
        <v>1051</v>
      </c>
      <c r="O31" s="2"/>
      <c r="P31" s="2"/>
      <c r="Q31" s="2"/>
      <c r="R31" s="2"/>
      <c r="S31" t="str">
        <f>INT(C31/10)*10 &amp; "s"</f>
        <v>2000s</v>
      </c>
      <c r="U31" t="str">
        <f>IF(AA31&lt;&gt;"","Simulation","Experiment")</f>
        <v>Experiment</v>
      </c>
      <c r="X31" t="s">
        <v>1607</v>
      </c>
      <c r="Z31" t="str">
        <f t="shared" si="0"/>
        <v/>
      </c>
      <c r="AA31" s="2"/>
      <c r="AB31" t="str">
        <f t="shared" si="3"/>
        <v>Local</v>
      </c>
      <c r="AC31" s="2"/>
      <c r="AD31" s="2"/>
      <c r="AE31" s="2"/>
      <c r="AF31" s="2"/>
      <c r="AG31" s="2"/>
      <c r="AH31" s="2"/>
      <c r="AI31" s="2" t="s">
        <v>1052</v>
      </c>
      <c r="AJ31" s="2" t="s">
        <v>1053</v>
      </c>
      <c r="AK31" t="s">
        <v>1054</v>
      </c>
      <c r="AL31" s="2" t="s">
        <v>23</v>
      </c>
      <c r="AM31" s="2" t="s">
        <v>24</v>
      </c>
      <c r="AN31" s="2"/>
      <c r="AO31" s="2" t="s">
        <v>25</v>
      </c>
      <c r="AP31" s="2" t="s">
        <v>1055</v>
      </c>
    </row>
    <row r="32" spans="1:42" ht="120" x14ac:dyDescent="0.25">
      <c r="A32" s="2" t="s">
        <v>1126</v>
      </c>
      <c r="B32" s="2" t="s">
        <v>1127</v>
      </c>
      <c r="C32" s="2">
        <v>2007</v>
      </c>
      <c r="D32" s="2" t="s">
        <v>128</v>
      </c>
      <c r="E32" s="2"/>
      <c r="F32" s="2"/>
      <c r="G32" s="2"/>
      <c r="H32" s="2"/>
      <c r="I32" s="2"/>
      <c r="J32" s="2"/>
      <c r="K32" s="2">
        <v>1</v>
      </c>
      <c r="L32" s="2"/>
      <c r="M32" s="12" t="s">
        <v>1128</v>
      </c>
      <c r="N32" s="14" t="s">
        <v>1129</v>
      </c>
      <c r="O32" s="2"/>
      <c r="P32" s="2"/>
      <c r="Q32" s="2"/>
      <c r="R32" s="2"/>
      <c r="S32" t="str">
        <f>INT(C32/10)*10 &amp; "s"</f>
        <v>2000s</v>
      </c>
      <c r="U32" t="str">
        <f>IF(AA32&lt;&gt;"","Simulation","Experiment")</f>
        <v>Simulation</v>
      </c>
      <c r="V32" t="s">
        <v>1619</v>
      </c>
      <c r="W32" t="s">
        <v>1685</v>
      </c>
      <c r="Z32" t="str">
        <f t="shared" si="0"/>
        <v/>
      </c>
      <c r="AA32" t="s">
        <v>1507</v>
      </c>
      <c r="AB32" t="str">
        <f t="shared" si="3"/>
        <v>Local</v>
      </c>
      <c r="AC32" s="2" t="s">
        <v>1529</v>
      </c>
      <c r="AD32" s="2" t="s">
        <v>1530</v>
      </c>
      <c r="AE32" s="2" t="s">
        <v>1531</v>
      </c>
      <c r="AF32" s="2"/>
      <c r="AG32" s="2" t="s">
        <v>1508</v>
      </c>
      <c r="AH32" s="2" t="s">
        <v>1532</v>
      </c>
      <c r="AI32" s="2"/>
      <c r="AJ32" s="2"/>
      <c r="AK32" t="s">
        <v>1130</v>
      </c>
      <c r="AL32" s="2" t="s">
        <v>29</v>
      </c>
      <c r="AM32" s="2" t="s">
        <v>24</v>
      </c>
      <c r="AN32" s="2"/>
      <c r="AO32" s="2" t="s">
        <v>25</v>
      </c>
      <c r="AP32" s="2" t="s">
        <v>1131</v>
      </c>
    </row>
    <row r="33" spans="1:42" ht="135" x14ac:dyDescent="0.25">
      <c r="A33" s="2" t="s">
        <v>1132</v>
      </c>
      <c r="B33" s="2" t="s">
        <v>1133</v>
      </c>
      <c r="C33" s="2">
        <v>2007</v>
      </c>
      <c r="D33" s="2" t="s">
        <v>128</v>
      </c>
      <c r="E33" s="2"/>
      <c r="F33" s="2"/>
      <c r="G33" s="2"/>
      <c r="H33" s="2"/>
      <c r="I33" s="2"/>
      <c r="J33" s="2"/>
      <c r="K33" s="2">
        <v>1</v>
      </c>
      <c r="L33" s="2"/>
      <c r="M33" s="12" t="s">
        <v>1134</v>
      </c>
      <c r="N33" s="14" t="s">
        <v>1135</v>
      </c>
      <c r="O33" s="2"/>
      <c r="P33" s="2"/>
      <c r="Q33" s="2"/>
      <c r="R33" s="2"/>
      <c r="S33" t="str">
        <f>INT(C33/10)*10 &amp; "s"</f>
        <v>2000s</v>
      </c>
      <c r="U33" t="s">
        <v>1618</v>
      </c>
      <c r="V33" t="s">
        <v>1613</v>
      </c>
      <c r="W33" t="s">
        <v>1359</v>
      </c>
      <c r="Z33" t="str">
        <f t="shared" si="0"/>
        <v/>
      </c>
      <c r="AA33" t="s">
        <v>1501</v>
      </c>
      <c r="AB33" t="str">
        <f t="shared" si="3"/>
        <v>Bulk</v>
      </c>
      <c r="AC33" s="2" t="s">
        <v>1502</v>
      </c>
      <c r="AD33" s="2" t="s">
        <v>1503</v>
      </c>
      <c r="AE33" s="2" t="s">
        <v>1525</v>
      </c>
      <c r="AF33" s="2"/>
      <c r="AG33" s="2" t="s">
        <v>1505</v>
      </c>
      <c r="AH33" s="2" t="s">
        <v>1526</v>
      </c>
      <c r="AI33" s="2"/>
      <c r="AJ33" s="2"/>
      <c r="AK33" t="s">
        <v>1136</v>
      </c>
      <c r="AL33" s="2" t="s">
        <v>29</v>
      </c>
      <c r="AM33" s="2" t="s">
        <v>24</v>
      </c>
      <c r="AN33" s="2"/>
      <c r="AO33" s="2" t="s">
        <v>25</v>
      </c>
      <c r="AP33" s="2" t="s">
        <v>1137</v>
      </c>
    </row>
    <row r="34" spans="1:42" ht="105" x14ac:dyDescent="0.25">
      <c r="A34" s="2" t="s">
        <v>1144</v>
      </c>
      <c r="B34" s="2" t="s">
        <v>1145</v>
      </c>
      <c r="C34" s="2">
        <v>2007</v>
      </c>
      <c r="D34" s="2" t="s">
        <v>128</v>
      </c>
      <c r="E34" s="2"/>
      <c r="F34" s="2"/>
      <c r="G34" s="2"/>
      <c r="H34" s="2"/>
      <c r="I34" s="2"/>
      <c r="J34" s="2"/>
      <c r="K34" s="2">
        <v>4</v>
      </c>
      <c r="L34" s="2"/>
      <c r="M34" s="12" t="s">
        <v>1146</v>
      </c>
      <c r="N34" s="14" t="s">
        <v>1147</v>
      </c>
      <c r="O34" s="2"/>
      <c r="P34" s="2"/>
      <c r="Q34" s="2"/>
      <c r="R34" s="2"/>
      <c r="S34" t="str">
        <f>INT(C34/10)*10 &amp; "s"</f>
        <v>2000s</v>
      </c>
      <c r="U34" t="str">
        <f>IF(AA34&lt;&gt;"","Simulation","Experiment")</f>
        <v>Simulation</v>
      </c>
      <c r="V34" t="s">
        <v>1619</v>
      </c>
      <c r="W34" t="s">
        <v>1359</v>
      </c>
      <c r="Z34" t="str">
        <f t="shared" si="0"/>
        <v/>
      </c>
      <c r="AA34" t="s">
        <v>1507</v>
      </c>
      <c r="AB34" t="str">
        <f t="shared" si="3"/>
        <v>Local</v>
      </c>
      <c r="AC34" s="2" t="s">
        <v>1502</v>
      </c>
      <c r="AD34" s="2" t="s">
        <v>1503</v>
      </c>
      <c r="AE34" s="2" t="s">
        <v>1527</v>
      </c>
      <c r="AG34" s="2" t="s">
        <v>1505</v>
      </c>
      <c r="AH34" s="2" t="s">
        <v>1528</v>
      </c>
      <c r="AI34" s="2"/>
      <c r="AJ34" s="2"/>
      <c r="AK34" t="s">
        <v>1148</v>
      </c>
      <c r="AL34" s="2" t="s">
        <v>29</v>
      </c>
      <c r="AM34" s="2" t="s">
        <v>24</v>
      </c>
      <c r="AN34" s="2"/>
      <c r="AO34" s="2" t="s">
        <v>25</v>
      </c>
      <c r="AP34" s="2" t="s">
        <v>1149</v>
      </c>
    </row>
    <row r="35" spans="1:42" ht="120" x14ac:dyDescent="0.25">
      <c r="A35" s="2" t="s">
        <v>1250</v>
      </c>
      <c r="B35" s="2" t="s">
        <v>1251</v>
      </c>
      <c r="C35" s="2">
        <v>2007</v>
      </c>
      <c r="D35" s="2" t="s">
        <v>128</v>
      </c>
      <c r="E35" s="2"/>
      <c r="F35" s="2"/>
      <c r="G35" s="2"/>
      <c r="H35" s="2"/>
      <c r="I35" s="2"/>
      <c r="J35" s="2"/>
      <c r="K35" s="2">
        <v>23</v>
      </c>
      <c r="L35" s="2"/>
      <c r="M35" s="12" t="s">
        <v>1252</v>
      </c>
      <c r="N35" s="14" t="s">
        <v>1253</v>
      </c>
      <c r="O35" s="2"/>
      <c r="P35" s="2"/>
      <c r="Q35" s="2"/>
      <c r="R35" s="2"/>
      <c r="S35" t="str">
        <f>INT(C35/10)*10 &amp; "s"</f>
        <v>2000s</v>
      </c>
      <c r="U35" t="s">
        <v>1618</v>
      </c>
      <c r="V35" t="s">
        <v>1613</v>
      </c>
      <c r="W35" t="s">
        <v>1685</v>
      </c>
      <c r="Z35" t="str">
        <f t="shared" si="0"/>
        <v/>
      </c>
      <c r="AA35" t="s">
        <v>1501</v>
      </c>
      <c r="AB35" t="str">
        <f t="shared" si="3"/>
        <v>Bulk</v>
      </c>
      <c r="AC35" s="2" t="s">
        <v>1524</v>
      </c>
      <c r="AD35" s="2" t="s">
        <v>1503</v>
      </c>
      <c r="AE35" s="2" t="s">
        <v>1525</v>
      </c>
      <c r="AF35" s="2"/>
      <c r="AG35" s="2" t="s">
        <v>1505</v>
      </c>
      <c r="AH35" s="2" t="s">
        <v>1526</v>
      </c>
      <c r="AI35" s="2"/>
      <c r="AJ35" s="2"/>
      <c r="AK35" t="s">
        <v>1691</v>
      </c>
      <c r="AL35" s="2" t="s">
        <v>29</v>
      </c>
      <c r="AM35" s="2" t="s">
        <v>24</v>
      </c>
      <c r="AN35" s="2"/>
      <c r="AO35" s="2" t="s">
        <v>25</v>
      </c>
      <c r="AP35" s="2" t="s">
        <v>1255</v>
      </c>
    </row>
    <row r="36" spans="1:42" ht="150" x14ac:dyDescent="0.25">
      <c r="A36" s="2" t="s">
        <v>1288</v>
      </c>
      <c r="B36" s="2" t="s">
        <v>1289</v>
      </c>
      <c r="C36" s="2">
        <v>2007</v>
      </c>
      <c r="D36" s="2" t="s">
        <v>128</v>
      </c>
      <c r="E36" s="2"/>
      <c r="F36" s="2"/>
      <c r="G36" s="2"/>
      <c r="H36" s="2"/>
      <c r="I36" s="2"/>
      <c r="J36" s="2"/>
      <c r="K36" s="2">
        <v>3</v>
      </c>
      <c r="L36" s="2"/>
      <c r="M36" s="2" t="s">
        <v>1290</v>
      </c>
      <c r="N36" s="4" t="s">
        <v>1636</v>
      </c>
      <c r="O36" s="2"/>
      <c r="P36" s="2"/>
      <c r="Q36" s="2"/>
      <c r="R36" s="2"/>
      <c r="S36" t="str">
        <f>INT(C36/10)*10 &amp; "s"</f>
        <v>2000s</v>
      </c>
      <c r="T36" t="s">
        <v>1604</v>
      </c>
      <c r="U36" t="s">
        <v>1601</v>
      </c>
      <c r="V36" t="s">
        <v>1619</v>
      </c>
      <c r="W36" t="s">
        <v>1685</v>
      </c>
      <c r="Z36" t="str">
        <f t="shared" si="0"/>
        <v/>
      </c>
      <c r="AA36" s="2"/>
      <c r="AB36" t="str">
        <f t="shared" si="3"/>
        <v>Local</v>
      </c>
      <c r="AC36" s="2"/>
      <c r="AD36" s="2"/>
      <c r="AE36" s="2"/>
      <c r="AF36" s="2"/>
      <c r="AG36" s="2"/>
      <c r="AH36" s="2"/>
      <c r="AI36" s="2"/>
      <c r="AJ36" s="2"/>
      <c r="AK36" t="s">
        <v>1692</v>
      </c>
      <c r="AL36" s="2" t="s">
        <v>29</v>
      </c>
      <c r="AM36" s="2" t="s">
        <v>24</v>
      </c>
      <c r="AN36" s="2"/>
      <c r="AO36" s="2" t="s">
        <v>25</v>
      </c>
      <c r="AP36" s="2" t="s">
        <v>1293</v>
      </c>
    </row>
    <row r="37" spans="1:42" ht="210" hidden="1" x14ac:dyDescent="0.25">
      <c r="A37" s="2" t="s">
        <v>537</v>
      </c>
      <c r="B37" s="2" t="s">
        <v>538</v>
      </c>
      <c r="C37" s="2">
        <v>2022</v>
      </c>
      <c r="D37" s="2" t="s">
        <v>45</v>
      </c>
      <c r="E37" s="2" t="s">
        <v>539</v>
      </c>
      <c r="F37" s="2"/>
      <c r="G37" s="2" t="s">
        <v>540</v>
      </c>
      <c r="H37" s="2"/>
      <c r="I37" s="2"/>
      <c r="J37" s="2"/>
      <c r="K37" s="2">
        <v>5</v>
      </c>
      <c r="L37" s="2" t="s">
        <v>541</v>
      </c>
      <c r="M37" s="2" t="s">
        <v>542</v>
      </c>
      <c r="N37" s="11" t="s">
        <v>543</v>
      </c>
      <c r="O37" s="2"/>
      <c r="P37" s="2" t="s">
        <v>1371</v>
      </c>
      <c r="Q37" s="2"/>
      <c r="R37" s="2"/>
      <c r="S37" s="2"/>
      <c r="T37" s="2"/>
      <c r="U37" s="2"/>
      <c r="V37" s="2"/>
      <c r="W37" s="2"/>
      <c r="X37" s="2"/>
      <c r="Y37" s="2"/>
      <c r="Z37" t="str">
        <f t="shared" si="0"/>
        <v/>
      </c>
      <c r="AA37" s="2"/>
      <c r="AB37" s="2"/>
      <c r="AC37" s="2"/>
      <c r="AD37" s="2"/>
      <c r="AE37" s="2"/>
      <c r="AF37" s="2"/>
      <c r="AG37" s="2"/>
      <c r="AH37" s="2"/>
      <c r="AI37" s="2" t="s">
        <v>544</v>
      </c>
      <c r="AJ37" s="2" t="s">
        <v>545</v>
      </c>
      <c r="AK37" t="s">
        <v>546</v>
      </c>
      <c r="AL37" s="2" t="s">
        <v>23</v>
      </c>
      <c r="AM37" s="2" t="s">
        <v>24</v>
      </c>
      <c r="AN37" s="2" t="s">
        <v>41</v>
      </c>
      <c r="AO37" s="2" t="s">
        <v>25</v>
      </c>
      <c r="AP37" s="2" t="s">
        <v>547</v>
      </c>
    </row>
    <row r="38" spans="1:42" ht="135" hidden="1" x14ac:dyDescent="0.25">
      <c r="A38" s="2" t="s">
        <v>248</v>
      </c>
      <c r="B38" s="2" t="s">
        <v>249</v>
      </c>
      <c r="C38" s="2">
        <v>2021</v>
      </c>
      <c r="D38" s="2" t="s">
        <v>250</v>
      </c>
      <c r="E38" s="2" t="s">
        <v>251</v>
      </c>
      <c r="F38" s="2" t="s">
        <v>82</v>
      </c>
      <c r="G38" s="2" t="s">
        <v>252</v>
      </c>
      <c r="H38" s="2"/>
      <c r="I38" s="2"/>
      <c r="J38" s="2"/>
      <c r="K38" s="2">
        <v>5</v>
      </c>
      <c r="L38" s="2" t="s">
        <v>253</v>
      </c>
      <c r="M38" s="2" t="s">
        <v>254</v>
      </c>
      <c r="N38" s="11" t="s">
        <v>255</v>
      </c>
      <c r="O38" s="2"/>
      <c r="P38" s="2" t="s">
        <v>1371</v>
      </c>
      <c r="Q38" s="2"/>
      <c r="R38" s="2"/>
      <c r="S38" s="2"/>
      <c r="T38" s="2"/>
      <c r="U38" s="2"/>
      <c r="V38" s="2"/>
      <c r="W38" s="2"/>
      <c r="X38" s="2"/>
      <c r="Y38" s="2"/>
      <c r="Z38" t="str">
        <f t="shared" si="0"/>
        <v/>
      </c>
      <c r="AA38" s="2"/>
      <c r="AB38" s="2"/>
      <c r="AC38" s="2"/>
      <c r="AD38" s="2"/>
      <c r="AE38" s="2"/>
      <c r="AF38" s="2"/>
      <c r="AG38" s="2"/>
      <c r="AH38" s="2"/>
      <c r="AI38" s="2" t="s">
        <v>256</v>
      </c>
      <c r="AJ38" s="2"/>
      <c r="AK38" t="s">
        <v>257</v>
      </c>
      <c r="AL38" s="2" t="s">
        <v>23</v>
      </c>
      <c r="AM38" s="2" t="s">
        <v>24</v>
      </c>
      <c r="AN38" s="2" t="s">
        <v>30</v>
      </c>
      <c r="AO38" s="2" t="s">
        <v>25</v>
      </c>
      <c r="AP38" s="2" t="s">
        <v>258</v>
      </c>
    </row>
    <row r="39" spans="1:42" ht="120" x14ac:dyDescent="0.25">
      <c r="A39" s="2" t="s">
        <v>1298</v>
      </c>
      <c r="B39" s="2" t="s">
        <v>1299</v>
      </c>
      <c r="C39" s="2">
        <v>2007</v>
      </c>
      <c r="D39" s="2" t="s">
        <v>128</v>
      </c>
      <c r="E39" s="2"/>
      <c r="F39" s="2"/>
      <c r="G39" s="2"/>
      <c r="H39" s="2"/>
      <c r="I39" s="2"/>
      <c r="J39" s="2"/>
      <c r="K39" s="2">
        <v>1</v>
      </c>
      <c r="L39" s="2"/>
      <c r="M39" s="12" t="s">
        <v>1300</v>
      </c>
      <c r="N39" s="14" t="s">
        <v>1301</v>
      </c>
      <c r="O39" s="2"/>
      <c r="P39" s="2"/>
      <c r="Q39" s="2"/>
      <c r="R39" s="2"/>
      <c r="S39" t="str">
        <f>INT(C39/10)*10 &amp; "s"</f>
        <v>2000s</v>
      </c>
      <c r="U39" t="s">
        <v>1618</v>
      </c>
      <c r="V39" t="s">
        <v>1613</v>
      </c>
      <c r="W39" t="s">
        <v>1359</v>
      </c>
      <c r="Z39" t="str">
        <f t="shared" si="0"/>
        <v/>
      </c>
      <c r="AA39" t="s">
        <v>1507</v>
      </c>
      <c r="AB39" t="str">
        <f>IF(AA39="1D","Bulk",
IF(AA39="x","","Local"))</f>
        <v>Local</v>
      </c>
      <c r="AC39" s="2" t="s">
        <v>1523</v>
      </c>
      <c r="AD39" s="2" t="s">
        <v>1520</v>
      </c>
      <c r="AE39" s="2" t="s">
        <v>1521</v>
      </c>
      <c r="AF39" s="2"/>
      <c r="AG39" s="2" t="s">
        <v>1508</v>
      </c>
      <c r="AH39" s="2" t="s">
        <v>1522</v>
      </c>
      <c r="AI39" s="2"/>
      <c r="AJ39" s="2"/>
      <c r="AK39" t="s">
        <v>1302</v>
      </c>
      <c r="AL39" s="2" t="s">
        <v>29</v>
      </c>
      <c r="AM39" s="2" t="s">
        <v>24</v>
      </c>
      <c r="AN39" s="2"/>
      <c r="AO39" s="2" t="s">
        <v>25</v>
      </c>
      <c r="AP39" s="2" t="s">
        <v>1303</v>
      </c>
    </row>
    <row r="40" spans="1:42" ht="225" x14ac:dyDescent="0.25">
      <c r="A40" s="2" t="s">
        <v>1312</v>
      </c>
      <c r="B40" s="2" t="s">
        <v>1313</v>
      </c>
      <c r="C40" s="2">
        <v>2007</v>
      </c>
      <c r="D40" s="2" t="s">
        <v>128</v>
      </c>
      <c r="E40" s="2"/>
      <c r="F40" s="2"/>
      <c r="G40" s="2"/>
      <c r="H40" s="2"/>
      <c r="I40" s="2"/>
      <c r="J40" s="2"/>
      <c r="K40" s="2">
        <v>0</v>
      </c>
      <c r="L40" s="2"/>
      <c r="M40" s="12" t="s">
        <v>1314</v>
      </c>
      <c r="N40" s="14" t="s">
        <v>1315</v>
      </c>
      <c r="O40" s="2"/>
      <c r="P40" s="2"/>
      <c r="Q40" s="2"/>
      <c r="R40" s="2"/>
      <c r="S40" t="str">
        <f>INT(C40/10)*10 &amp; "s"</f>
        <v>2000s</v>
      </c>
      <c r="U40" t="s">
        <v>1618</v>
      </c>
      <c r="V40" t="s">
        <v>1613</v>
      </c>
      <c r="W40" t="s">
        <v>1685</v>
      </c>
      <c r="Z40" t="str">
        <f t="shared" si="0"/>
        <v/>
      </c>
      <c r="AA40" t="s">
        <v>1507</v>
      </c>
      <c r="AB40" t="str">
        <f>IF(AA40="1D","Bulk",
IF(AA40="x","","Local"))</f>
        <v>Local</v>
      </c>
      <c r="AC40" s="2" t="s">
        <v>1502</v>
      </c>
      <c r="AD40" s="2" t="s">
        <v>1520</v>
      </c>
      <c r="AE40" s="2" t="s">
        <v>1521</v>
      </c>
      <c r="AF40" s="2"/>
      <c r="AG40" s="2" t="s">
        <v>1508</v>
      </c>
      <c r="AH40" s="2" t="s">
        <v>1522</v>
      </c>
      <c r="AI40" s="2"/>
      <c r="AJ40" s="2"/>
      <c r="AK40" t="s">
        <v>1316</v>
      </c>
      <c r="AL40" s="2" t="s">
        <v>29</v>
      </c>
      <c r="AM40" s="2" t="s">
        <v>24</v>
      </c>
      <c r="AN40" s="2"/>
      <c r="AO40" s="2" t="s">
        <v>25</v>
      </c>
      <c r="AP40" s="2" t="s">
        <v>1317</v>
      </c>
    </row>
    <row r="41" spans="1:42" ht="195" hidden="1" x14ac:dyDescent="0.25">
      <c r="A41" s="2" t="s">
        <v>366</v>
      </c>
      <c r="B41" s="2" t="s">
        <v>367</v>
      </c>
      <c r="C41" s="2">
        <v>2021</v>
      </c>
      <c r="D41" s="2" t="s">
        <v>26</v>
      </c>
      <c r="E41" s="2" t="s">
        <v>127</v>
      </c>
      <c r="F41" s="2"/>
      <c r="G41" s="2" t="s">
        <v>368</v>
      </c>
      <c r="H41" s="2"/>
      <c r="I41" s="2"/>
      <c r="J41" s="2"/>
      <c r="K41" s="2">
        <v>1</v>
      </c>
      <c r="L41" s="2" t="s">
        <v>369</v>
      </c>
      <c r="M41" s="2" t="s">
        <v>370</v>
      </c>
      <c r="N41" s="11" t="s">
        <v>371</v>
      </c>
      <c r="O41" s="2"/>
      <c r="P41" s="2" t="s">
        <v>1371</v>
      </c>
      <c r="Q41" s="2"/>
      <c r="R41" s="2"/>
      <c r="S41" s="2"/>
      <c r="T41" s="2"/>
      <c r="U41" s="2"/>
      <c r="V41" s="2"/>
      <c r="W41" s="2"/>
      <c r="X41" s="2"/>
      <c r="Y41" s="2"/>
      <c r="Z41" t="str">
        <f t="shared" si="0"/>
        <v/>
      </c>
      <c r="AA41" s="2"/>
      <c r="AB41" s="2"/>
      <c r="AC41" s="2"/>
      <c r="AD41" s="2"/>
      <c r="AE41" s="2"/>
      <c r="AF41" s="2"/>
      <c r="AG41" s="2"/>
      <c r="AH41" s="2"/>
      <c r="AI41" s="2"/>
      <c r="AJ41" s="2" t="s">
        <v>372</v>
      </c>
      <c r="AK41" t="s">
        <v>373</v>
      </c>
      <c r="AL41" s="2" t="s">
        <v>29</v>
      </c>
      <c r="AM41" s="2" t="s">
        <v>24</v>
      </c>
      <c r="AN41" s="2" t="s">
        <v>64</v>
      </c>
      <c r="AO41" s="2" t="s">
        <v>25</v>
      </c>
      <c r="AP41" s="2" t="s">
        <v>374</v>
      </c>
    </row>
    <row r="42" spans="1:42" ht="360" x14ac:dyDescent="0.25">
      <c r="A42" s="2" t="s">
        <v>732</v>
      </c>
      <c r="B42" s="2" t="s">
        <v>992</v>
      </c>
      <c r="C42" s="2">
        <v>2008</v>
      </c>
      <c r="D42" s="2" t="s">
        <v>324</v>
      </c>
      <c r="E42" s="2" t="s">
        <v>279</v>
      </c>
      <c r="F42" s="2" t="s">
        <v>28</v>
      </c>
      <c r="G42" s="2"/>
      <c r="H42" s="2">
        <v>49</v>
      </c>
      <c r="I42" s="2">
        <v>65</v>
      </c>
      <c r="J42" s="2">
        <v>16</v>
      </c>
      <c r="K42" s="2">
        <v>15</v>
      </c>
      <c r="L42" s="2" t="s">
        <v>993</v>
      </c>
      <c r="M42" s="2" t="s">
        <v>994</v>
      </c>
      <c r="N42" s="4" t="s">
        <v>995</v>
      </c>
      <c r="O42" s="2"/>
      <c r="P42" s="2"/>
      <c r="Q42" s="2"/>
      <c r="R42" s="2"/>
      <c r="S42" t="str">
        <f>INT(C42/10)*10 &amp; "s"</f>
        <v>2000s</v>
      </c>
      <c r="U42" t="s">
        <v>1618</v>
      </c>
      <c r="V42" t="s">
        <v>1613</v>
      </c>
      <c r="W42" t="s">
        <v>1359</v>
      </c>
      <c r="Z42" t="str">
        <f t="shared" si="0"/>
        <v/>
      </c>
      <c r="AA42" s="2"/>
      <c r="AB42" t="str">
        <f>IF(AA42="1D","Bulk",
IF(AA42="x","","Local"))</f>
        <v>Local</v>
      </c>
      <c r="AC42" s="2"/>
      <c r="AD42" s="2"/>
      <c r="AE42" s="2"/>
      <c r="AF42" s="2"/>
      <c r="AG42" s="2"/>
      <c r="AH42" s="2"/>
      <c r="AI42" s="2" t="s">
        <v>996</v>
      </c>
      <c r="AJ42" s="2" t="s">
        <v>997</v>
      </c>
      <c r="AK42" t="s">
        <v>998</v>
      </c>
      <c r="AL42" s="2" t="s">
        <v>23</v>
      </c>
      <c r="AM42" s="2" t="s">
        <v>24</v>
      </c>
      <c r="AN42" s="2"/>
      <c r="AO42" s="2" t="s">
        <v>25</v>
      </c>
      <c r="AP42" s="2" t="s">
        <v>999</v>
      </c>
    </row>
    <row r="43" spans="1:42" ht="360" x14ac:dyDescent="0.25">
      <c r="A43" s="2" t="s">
        <v>1094</v>
      </c>
      <c r="B43" s="2" t="s">
        <v>1095</v>
      </c>
      <c r="C43" s="2">
        <v>2008</v>
      </c>
      <c r="D43" s="2" t="s">
        <v>324</v>
      </c>
      <c r="E43" s="2" t="s">
        <v>279</v>
      </c>
      <c r="F43" s="2" t="s">
        <v>28</v>
      </c>
      <c r="G43" s="2"/>
      <c r="H43" s="2">
        <v>33</v>
      </c>
      <c r="I43" s="2">
        <v>48</v>
      </c>
      <c r="J43" s="2">
        <v>15</v>
      </c>
      <c r="K43" s="2">
        <v>10</v>
      </c>
      <c r="L43" s="2" t="s">
        <v>1096</v>
      </c>
      <c r="M43" s="2" t="s">
        <v>1097</v>
      </c>
      <c r="N43" s="4" t="s">
        <v>1098</v>
      </c>
      <c r="O43" s="2"/>
      <c r="P43" s="2"/>
      <c r="Q43" s="2"/>
      <c r="R43" s="2"/>
      <c r="S43" t="str">
        <f>INT(C43/10)*10 &amp; "s"</f>
        <v>2000s</v>
      </c>
      <c r="U43" t="s">
        <v>429</v>
      </c>
      <c r="Z43" t="str">
        <f t="shared" si="0"/>
        <v/>
      </c>
      <c r="AA43" s="2" t="s">
        <v>1371</v>
      </c>
      <c r="AB43" t="str">
        <f>IF(AA43="1D","Bulk",
IF(AA43="x","","Local"))</f>
        <v/>
      </c>
      <c r="AC43" s="2"/>
      <c r="AD43" s="2"/>
      <c r="AE43" s="2"/>
      <c r="AF43" s="2"/>
      <c r="AG43" s="2"/>
      <c r="AH43" s="2"/>
      <c r="AI43" s="2" t="s">
        <v>996</v>
      </c>
      <c r="AJ43" s="2" t="s">
        <v>1099</v>
      </c>
      <c r="AK43" t="s">
        <v>1100</v>
      </c>
      <c r="AL43" s="2" t="s">
        <v>23</v>
      </c>
      <c r="AM43" s="2" t="s">
        <v>24</v>
      </c>
      <c r="AN43" s="2"/>
      <c r="AO43" s="2" t="s">
        <v>25</v>
      </c>
      <c r="AP43" s="2" t="s">
        <v>1101</v>
      </c>
    </row>
    <row r="44" spans="1:42" ht="120" x14ac:dyDescent="0.25">
      <c r="A44" t="s">
        <v>1422</v>
      </c>
      <c r="B44" s="4" t="s">
        <v>1423</v>
      </c>
      <c r="C44" s="28">
        <v>2009</v>
      </c>
      <c r="D44" s="2" t="s">
        <v>1433</v>
      </c>
      <c r="E44">
        <v>2009</v>
      </c>
      <c r="F44" s="27"/>
      <c r="G44" s="27"/>
      <c r="H44" s="27"/>
      <c r="I44" s="27"/>
      <c r="J44" s="27"/>
      <c r="K44" s="27"/>
      <c r="L44" t="s">
        <v>1448</v>
      </c>
      <c r="M44" s="27"/>
      <c r="N44" s="2" t="s">
        <v>1429</v>
      </c>
      <c r="O44" s="27"/>
      <c r="P44" s="27"/>
      <c r="Q44" s="28" t="s">
        <v>1463</v>
      </c>
      <c r="R44" s="28"/>
      <c r="S44" t="str">
        <f>INT(C44/10)*10 &amp; "s"</f>
        <v>2000s</v>
      </c>
      <c r="U44" t="str">
        <f>IF(AA44&lt;&gt;"","Simulation","Experiment")</f>
        <v>Simulation</v>
      </c>
      <c r="V44" t="s">
        <v>1619</v>
      </c>
      <c r="W44" t="s">
        <v>1685</v>
      </c>
      <c r="Z44" t="str">
        <f t="shared" si="0"/>
        <v/>
      </c>
      <c r="AA44" t="s">
        <v>1507</v>
      </c>
      <c r="AB44" t="str">
        <f>IF(AA44="1D","Bulk",
IF(AA44="x","","Local"))</f>
        <v>Local</v>
      </c>
      <c r="AC44" t="s">
        <v>1533</v>
      </c>
      <c r="AD44" s="2" t="s">
        <v>1534</v>
      </c>
      <c r="AE44" s="2" t="s">
        <v>1535</v>
      </c>
      <c r="AF44" t="s">
        <v>1536</v>
      </c>
      <c r="AG44" s="2" t="s">
        <v>1508</v>
      </c>
      <c r="AH44" s="2" t="s">
        <v>1537</v>
      </c>
      <c r="AI44" s="27"/>
      <c r="AJ44" s="27"/>
      <c r="AK44" s="27"/>
      <c r="AL44" s="27"/>
      <c r="AM44" s="27"/>
      <c r="AN44" s="27"/>
      <c r="AO44" s="27"/>
      <c r="AP44" s="27"/>
    </row>
    <row r="45" spans="1:42" ht="195" hidden="1" x14ac:dyDescent="0.25">
      <c r="A45" s="2" t="s">
        <v>386</v>
      </c>
      <c r="B45" s="2" t="s">
        <v>387</v>
      </c>
      <c r="C45" s="2">
        <v>2020</v>
      </c>
      <c r="D45" s="2" t="s">
        <v>388</v>
      </c>
      <c r="E45" s="2" t="s">
        <v>389</v>
      </c>
      <c r="F45" s="2"/>
      <c r="G45" s="2"/>
      <c r="H45" s="2">
        <v>317</v>
      </c>
      <c r="I45" s="2">
        <v>337</v>
      </c>
      <c r="J45" s="2">
        <v>20</v>
      </c>
      <c r="K45" s="2">
        <v>0</v>
      </c>
      <c r="L45" s="2" t="s">
        <v>390</v>
      </c>
      <c r="M45" s="2" t="s">
        <v>391</v>
      </c>
      <c r="N45" s="7" t="s">
        <v>392</v>
      </c>
      <c r="O45" s="2"/>
      <c r="P45" s="2" t="s">
        <v>1371</v>
      </c>
      <c r="Q45" s="2"/>
      <c r="R45" s="2"/>
      <c r="S45" s="2"/>
      <c r="T45" s="2"/>
      <c r="U45" s="2"/>
      <c r="V45" s="2"/>
      <c r="W45" s="2"/>
      <c r="X45" s="2"/>
      <c r="Y45" s="2"/>
      <c r="Z45" t="str">
        <f t="shared" si="0"/>
        <v/>
      </c>
      <c r="AA45" s="2"/>
      <c r="AB45" s="2"/>
      <c r="AC45" s="2"/>
      <c r="AD45" s="2"/>
      <c r="AE45" s="2"/>
      <c r="AF45" s="2"/>
      <c r="AG45" s="2"/>
      <c r="AH45" s="2"/>
      <c r="AI45" s="2" t="s">
        <v>393</v>
      </c>
      <c r="AJ45" s="2" t="s">
        <v>394</v>
      </c>
      <c r="AK45" t="s">
        <v>395</v>
      </c>
      <c r="AL45" s="2" t="s">
        <v>29</v>
      </c>
      <c r="AM45" s="2" t="s">
        <v>24</v>
      </c>
      <c r="AN45" s="2"/>
      <c r="AO45" s="2" t="s">
        <v>25</v>
      </c>
      <c r="AP45" s="2" t="s">
        <v>396</v>
      </c>
    </row>
    <row r="46" spans="1:42" ht="150" x14ac:dyDescent="0.25">
      <c r="A46" s="2" t="s">
        <v>671</v>
      </c>
      <c r="B46" s="2" t="s">
        <v>672</v>
      </c>
      <c r="C46" s="2">
        <v>2009</v>
      </c>
      <c r="D46" s="2" t="s">
        <v>673</v>
      </c>
      <c r="E46" s="2" t="s">
        <v>165</v>
      </c>
      <c r="F46" s="2" t="s">
        <v>22</v>
      </c>
      <c r="G46" s="2"/>
      <c r="H46" s="2">
        <v>117</v>
      </c>
      <c r="I46" s="2">
        <v>128</v>
      </c>
      <c r="J46" s="2">
        <v>11</v>
      </c>
      <c r="K46" s="2">
        <v>19</v>
      </c>
      <c r="L46" s="2" t="s">
        <v>674</v>
      </c>
      <c r="M46" s="12" t="s">
        <v>675</v>
      </c>
      <c r="N46" s="4" t="s">
        <v>676</v>
      </c>
      <c r="O46" s="2"/>
      <c r="P46" s="2"/>
      <c r="Q46" s="2"/>
      <c r="R46" s="2"/>
      <c r="S46" t="str">
        <f>INT(C46/10)*10 &amp; "s"</f>
        <v>2000s</v>
      </c>
      <c r="U46" t="s">
        <v>1601</v>
      </c>
      <c r="V46" t="s">
        <v>1619</v>
      </c>
      <c r="W46" t="s">
        <v>1359</v>
      </c>
      <c r="Z46" t="str">
        <f t="shared" si="0"/>
        <v/>
      </c>
      <c r="AA46" s="2"/>
      <c r="AB46" t="str">
        <f>IF(AA46="1D","Bulk",
IF(AA46="x","","Local"))</f>
        <v>Local</v>
      </c>
      <c r="AC46" s="2"/>
      <c r="AD46" s="2"/>
      <c r="AE46" s="2"/>
      <c r="AF46" s="2"/>
      <c r="AG46" s="2"/>
      <c r="AH46" s="2"/>
      <c r="AI46" s="2" t="s">
        <v>677</v>
      </c>
      <c r="AJ46" s="2" t="s">
        <v>678</v>
      </c>
      <c r="AK46" t="s">
        <v>1637</v>
      </c>
      <c r="AL46" s="2" t="s">
        <v>23</v>
      </c>
      <c r="AM46" s="2" t="s">
        <v>24</v>
      </c>
      <c r="AN46" s="2"/>
      <c r="AO46" s="2" t="s">
        <v>25</v>
      </c>
      <c r="AP46" s="2" t="s">
        <v>680</v>
      </c>
    </row>
    <row r="47" spans="1:42" ht="240" x14ac:dyDescent="0.25">
      <c r="A47" s="2" t="s">
        <v>795</v>
      </c>
      <c r="B47" s="2" t="s">
        <v>796</v>
      </c>
      <c r="C47" s="2">
        <v>2009</v>
      </c>
      <c r="D47" s="2" t="s">
        <v>45</v>
      </c>
      <c r="E47" s="2" t="s">
        <v>482</v>
      </c>
      <c r="F47" s="2" t="s">
        <v>72</v>
      </c>
      <c r="G47" s="2"/>
      <c r="H47" s="2">
        <v>1065</v>
      </c>
      <c r="I47" s="2">
        <v>1073</v>
      </c>
      <c r="J47" s="2">
        <v>8</v>
      </c>
      <c r="K47" s="2">
        <v>65</v>
      </c>
      <c r="L47" s="2" t="s">
        <v>797</v>
      </c>
      <c r="M47" s="12" t="s">
        <v>798</v>
      </c>
      <c r="N47" s="4" t="s">
        <v>1638</v>
      </c>
      <c r="O47" s="2"/>
      <c r="P47" s="2"/>
      <c r="Q47" s="2"/>
      <c r="R47" s="2"/>
      <c r="S47" t="str">
        <f>INT(C47/10)*10 &amp; "s"</f>
        <v>2000s</v>
      </c>
      <c r="U47" t="s">
        <v>1618</v>
      </c>
      <c r="V47" t="s">
        <v>1613</v>
      </c>
      <c r="W47" t="s">
        <v>1685</v>
      </c>
      <c r="Z47" t="str">
        <f t="shared" si="0"/>
        <v/>
      </c>
      <c r="AA47" s="2"/>
      <c r="AB47" t="str">
        <f>IF(AA47="1D","Bulk",
IF(AA47="x","","Local"))</f>
        <v>Local</v>
      </c>
      <c r="AC47" s="2"/>
      <c r="AD47" s="2"/>
      <c r="AE47" s="2"/>
      <c r="AF47" s="2"/>
      <c r="AG47" s="2"/>
      <c r="AH47" s="2"/>
      <c r="AI47" s="2" t="s">
        <v>800</v>
      </c>
      <c r="AJ47" s="2" t="s">
        <v>801</v>
      </c>
      <c r="AK47" t="s">
        <v>1639</v>
      </c>
      <c r="AL47" s="2" t="s">
        <v>23</v>
      </c>
      <c r="AM47" s="2" t="s">
        <v>24</v>
      </c>
      <c r="AN47" s="2"/>
      <c r="AO47" s="2" t="s">
        <v>25</v>
      </c>
      <c r="AP47" s="2" t="s">
        <v>803</v>
      </c>
    </row>
    <row r="48" spans="1:42" ht="165" x14ac:dyDescent="0.25">
      <c r="A48" s="2" t="s">
        <v>884</v>
      </c>
      <c r="B48" s="2" t="s">
        <v>885</v>
      </c>
      <c r="C48" s="2">
        <v>2009</v>
      </c>
      <c r="D48" s="2" t="s">
        <v>794</v>
      </c>
      <c r="E48" s="2"/>
      <c r="F48" s="2"/>
      <c r="G48" s="2"/>
      <c r="H48" s="2"/>
      <c r="I48" s="2"/>
      <c r="J48" s="2"/>
      <c r="K48" s="2">
        <v>0</v>
      </c>
      <c r="L48" s="2"/>
      <c r="M48" s="12" t="s">
        <v>886</v>
      </c>
      <c r="N48" s="29" t="s">
        <v>887</v>
      </c>
      <c r="O48" s="2"/>
      <c r="P48" s="2"/>
      <c r="Q48" s="2"/>
      <c r="R48" s="2"/>
      <c r="S48" t="str">
        <f>INT(C48/10)*10 &amp; "s"</f>
        <v>2000s</v>
      </c>
      <c r="U48" t="s">
        <v>1601</v>
      </c>
      <c r="V48" t="s">
        <v>1619</v>
      </c>
      <c r="W48" t="s">
        <v>1359</v>
      </c>
      <c r="Z48" t="str">
        <f t="shared" si="0"/>
        <v/>
      </c>
      <c r="AA48" s="2"/>
      <c r="AB48" t="str">
        <f>IF(AA48="1D","Bulk",
IF(AA48="x","","Local"))</f>
        <v>Local</v>
      </c>
      <c r="AC48" s="2"/>
      <c r="AD48" s="2"/>
      <c r="AE48" s="2"/>
      <c r="AF48" s="2"/>
      <c r="AG48" s="2"/>
      <c r="AH48" s="2"/>
      <c r="AI48" s="2" t="s">
        <v>888</v>
      </c>
      <c r="AJ48" s="2" t="s">
        <v>889</v>
      </c>
      <c r="AK48" t="s">
        <v>890</v>
      </c>
      <c r="AL48" s="2" t="s">
        <v>29</v>
      </c>
      <c r="AM48" s="2" t="s">
        <v>24</v>
      </c>
      <c r="AN48" s="2"/>
      <c r="AO48" s="2" t="s">
        <v>25</v>
      </c>
      <c r="AP48" s="2" t="s">
        <v>891</v>
      </c>
    </row>
    <row r="49" spans="1:42" ht="180" x14ac:dyDescent="0.25">
      <c r="A49" s="2" t="s">
        <v>901</v>
      </c>
      <c r="B49" s="2" t="s">
        <v>902</v>
      </c>
      <c r="C49" s="2">
        <v>2009</v>
      </c>
      <c r="D49" s="2" t="s">
        <v>794</v>
      </c>
      <c r="E49" s="2"/>
      <c r="F49" s="2"/>
      <c r="G49" s="2"/>
      <c r="H49" s="2"/>
      <c r="I49" s="2"/>
      <c r="J49" s="2"/>
      <c r="K49" s="2">
        <v>0</v>
      </c>
      <c r="L49" s="2"/>
      <c r="M49" s="2" t="s">
        <v>903</v>
      </c>
      <c r="N49" s="4" t="s">
        <v>904</v>
      </c>
      <c r="O49" s="2"/>
      <c r="P49" s="2"/>
      <c r="Q49" s="2"/>
      <c r="R49" s="2"/>
      <c r="S49" t="str">
        <f>INT(C49/10)*10 &amp; "s"</f>
        <v>2000s</v>
      </c>
      <c r="T49" t="s">
        <v>1604</v>
      </c>
      <c r="U49" t="s">
        <v>1601</v>
      </c>
      <c r="V49" t="s">
        <v>1614</v>
      </c>
      <c r="W49" t="s">
        <v>1685</v>
      </c>
      <c r="Z49" t="str">
        <f t="shared" si="0"/>
        <v/>
      </c>
      <c r="AA49" s="2"/>
      <c r="AB49" t="str">
        <f>IF(AA49="1D","Bulk",
IF(AA49="x","","Local"))</f>
        <v>Local</v>
      </c>
      <c r="AC49" s="2"/>
      <c r="AD49" s="2"/>
      <c r="AE49" s="2"/>
      <c r="AF49" s="2"/>
      <c r="AG49" s="2"/>
      <c r="AH49" s="2"/>
      <c r="AI49" s="2" t="s">
        <v>905</v>
      </c>
      <c r="AJ49" s="2" t="s">
        <v>906</v>
      </c>
      <c r="AK49" t="s">
        <v>1693</v>
      </c>
      <c r="AL49" s="2" t="s">
        <v>29</v>
      </c>
      <c r="AM49" s="2" t="s">
        <v>24</v>
      </c>
      <c r="AN49" s="2"/>
      <c r="AO49" s="2" t="s">
        <v>25</v>
      </c>
      <c r="AP49" s="2" t="s">
        <v>908</v>
      </c>
    </row>
    <row r="50" spans="1:42" ht="75" x14ac:dyDescent="0.25">
      <c r="A50" s="36" t="s">
        <v>1615</v>
      </c>
      <c r="B50" s="36" t="s">
        <v>1616</v>
      </c>
      <c r="C50" s="36">
        <v>2009</v>
      </c>
      <c r="D50" s="2" t="s">
        <v>397</v>
      </c>
      <c r="H50" s="2">
        <v>143</v>
      </c>
      <c r="I50" s="2">
        <v>155</v>
      </c>
      <c r="N50" s="4" t="s">
        <v>1617</v>
      </c>
      <c r="S50" t="str">
        <f>INT(C50/10)*10 &amp; "s"</f>
        <v>2000s</v>
      </c>
      <c r="U50" t="s">
        <v>1601</v>
      </c>
      <c r="V50" t="s">
        <v>1612</v>
      </c>
      <c r="W50" t="s">
        <v>1685</v>
      </c>
    </row>
    <row r="51" spans="1:42" ht="75" x14ac:dyDescent="0.25">
      <c r="A51" t="s">
        <v>1424</v>
      </c>
      <c r="B51" s="4" t="s">
        <v>1425</v>
      </c>
      <c r="C51" s="28">
        <v>2010</v>
      </c>
      <c r="D51" s="2" t="s">
        <v>1434</v>
      </c>
      <c r="E51">
        <v>2010</v>
      </c>
      <c r="F51" s="27"/>
      <c r="G51" s="27"/>
      <c r="H51" s="27"/>
      <c r="I51" s="27"/>
      <c r="J51" s="27"/>
      <c r="K51" s="27"/>
      <c r="L51" t="s">
        <v>1449</v>
      </c>
      <c r="M51" s="27"/>
      <c r="N51" s="2" t="s">
        <v>1430</v>
      </c>
      <c r="O51" s="27"/>
      <c r="P51" s="27"/>
      <c r="Q51" s="28" t="s">
        <v>1464</v>
      </c>
      <c r="R51" s="28"/>
      <c r="S51" t="str">
        <f>INT(C51/10)*10 &amp; "s"</f>
        <v>2010s</v>
      </c>
      <c r="U51" t="str">
        <f>IF(AA51&lt;&gt;"","Simulation","Experiment")</f>
        <v>Experiment</v>
      </c>
      <c r="Z51" t="str">
        <f t="shared" ref="Z51:Z82" si="4">IF(U51=3,"Simulation und Experiment",
IF(U51=4,"Review",
IF(U51=5,"Nur Literaturwerte",
IF(U51=6,"Analytical",""))))</f>
        <v/>
      </c>
      <c r="AA51" s="28"/>
      <c r="AB51" t="str">
        <f t="shared" ref="AB51:AB57" si="5">IF(AA51="1D","Bulk",
IF(AA51="x","","Local"))</f>
        <v>Local</v>
      </c>
      <c r="AC51" s="28"/>
      <c r="AD51" s="28"/>
      <c r="AE51" s="28"/>
      <c r="AF51" s="28"/>
      <c r="AG51" s="28"/>
      <c r="AH51" s="28"/>
      <c r="AI51" s="27"/>
      <c r="AJ51" s="27"/>
      <c r="AK51" s="27"/>
      <c r="AL51" s="27"/>
      <c r="AM51" s="27"/>
      <c r="AN51" s="27"/>
      <c r="AO51" s="27"/>
      <c r="AP51" s="27"/>
    </row>
    <row r="52" spans="1:42" ht="105" x14ac:dyDescent="0.25">
      <c r="A52" t="s">
        <v>1439</v>
      </c>
      <c r="B52" s="4" t="s">
        <v>1440</v>
      </c>
      <c r="C52" s="28">
        <v>2010</v>
      </c>
      <c r="D52" s="2" t="s">
        <v>1441</v>
      </c>
      <c r="E52">
        <v>2010</v>
      </c>
      <c r="F52" s="27"/>
      <c r="G52" s="27"/>
      <c r="H52" s="27"/>
      <c r="I52" s="27"/>
      <c r="J52" s="27"/>
      <c r="K52" s="27"/>
      <c r="L52" s="27"/>
      <c r="M52" s="27"/>
      <c r="N52" s="2" t="s">
        <v>1445</v>
      </c>
      <c r="O52" s="28" t="s">
        <v>1415</v>
      </c>
      <c r="P52" s="27"/>
      <c r="Q52" s="28" t="s">
        <v>1640</v>
      </c>
      <c r="R52" s="28"/>
      <c r="S52" t="str">
        <f>INT(C52/10)*10 &amp; "s"</f>
        <v>2010s</v>
      </c>
      <c r="U52" t="s">
        <v>1618</v>
      </c>
      <c r="V52" t="s">
        <v>1613</v>
      </c>
      <c r="W52" t="s">
        <v>1359</v>
      </c>
      <c r="Z52" t="str">
        <f t="shared" si="4"/>
        <v/>
      </c>
      <c r="AA52" s="28"/>
      <c r="AB52" t="str">
        <f t="shared" si="5"/>
        <v>Local</v>
      </c>
      <c r="AC52" s="28"/>
      <c r="AD52" s="28"/>
      <c r="AE52" s="28"/>
      <c r="AF52" s="28"/>
      <c r="AG52" s="28"/>
      <c r="AH52" s="28"/>
      <c r="AI52" s="27"/>
      <c r="AJ52" s="27"/>
      <c r="AK52" s="27"/>
      <c r="AL52" s="27"/>
      <c r="AM52" s="27"/>
      <c r="AN52" s="27"/>
      <c r="AO52" s="27"/>
      <c r="AP52" s="27"/>
    </row>
    <row r="53" spans="1:42" ht="165" x14ac:dyDescent="0.25">
      <c r="A53" s="2" t="s">
        <v>767</v>
      </c>
      <c r="B53" s="2" t="s">
        <v>768</v>
      </c>
      <c r="C53" s="2">
        <v>2010</v>
      </c>
      <c r="D53" s="2" t="s">
        <v>769</v>
      </c>
      <c r="E53" s="2" t="s">
        <v>321</v>
      </c>
      <c r="F53" s="2" t="s">
        <v>279</v>
      </c>
      <c r="G53" s="2"/>
      <c r="H53" s="2">
        <v>191</v>
      </c>
      <c r="I53" s="2">
        <v>195</v>
      </c>
      <c r="J53" s="2">
        <v>4</v>
      </c>
      <c r="K53" s="2">
        <v>0</v>
      </c>
      <c r="L53" s="2" t="s">
        <v>770</v>
      </c>
      <c r="M53" s="2" t="s">
        <v>771</v>
      </c>
      <c r="N53" s="4" t="s">
        <v>772</v>
      </c>
      <c r="O53" s="2"/>
      <c r="P53" s="2"/>
      <c r="Q53" s="2"/>
      <c r="R53" s="2"/>
      <c r="S53" t="str">
        <f>INT(C53/10)*10 &amp; "s"</f>
        <v>2010s</v>
      </c>
      <c r="U53" t="str">
        <f>IF(AA53&lt;&gt;"","Simulation","Experiment")</f>
        <v>Experiment</v>
      </c>
      <c r="Z53" t="str">
        <f t="shared" si="4"/>
        <v/>
      </c>
      <c r="AA53" s="2"/>
      <c r="AB53" t="str">
        <f t="shared" si="5"/>
        <v>Local</v>
      </c>
      <c r="AC53" s="2"/>
      <c r="AD53" s="2"/>
      <c r="AE53" s="2"/>
      <c r="AF53" s="2"/>
      <c r="AG53" s="2"/>
      <c r="AH53" s="2"/>
      <c r="AI53" s="2" t="s">
        <v>773</v>
      </c>
      <c r="AJ53" s="2" t="s">
        <v>774</v>
      </c>
      <c r="AK53" t="s">
        <v>775</v>
      </c>
      <c r="AL53" s="2" t="s">
        <v>23</v>
      </c>
      <c r="AM53" s="2" t="s">
        <v>24</v>
      </c>
      <c r="AN53" s="2" t="s">
        <v>198</v>
      </c>
      <c r="AO53" s="2" t="s">
        <v>25</v>
      </c>
      <c r="AP53" s="2" t="s">
        <v>776</v>
      </c>
    </row>
    <row r="54" spans="1:42" ht="165" x14ac:dyDescent="0.25">
      <c r="A54" s="2" t="s">
        <v>777</v>
      </c>
      <c r="B54" s="2" t="s">
        <v>804</v>
      </c>
      <c r="C54" s="2">
        <v>2010</v>
      </c>
      <c r="D54" s="2" t="s">
        <v>324</v>
      </c>
      <c r="E54" s="2" t="s">
        <v>805</v>
      </c>
      <c r="F54" s="2" t="s">
        <v>80</v>
      </c>
      <c r="G54" s="2"/>
      <c r="H54" s="2">
        <v>249</v>
      </c>
      <c r="I54" s="2">
        <v>269</v>
      </c>
      <c r="J54" s="2">
        <v>20</v>
      </c>
      <c r="K54" s="2">
        <v>27</v>
      </c>
      <c r="L54" s="2" t="s">
        <v>806</v>
      </c>
      <c r="M54" s="12" t="s">
        <v>807</v>
      </c>
      <c r="N54" s="14" t="s">
        <v>808</v>
      </c>
      <c r="O54" s="2"/>
      <c r="P54" s="2"/>
      <c r="Q54" s="2"/>
      <c r="R54" s="2"/>
      <c r="S54" t="str">
        <f>INT(C54/10)*10 &amp; "s"</f>
        <v>2010s</v>
      </c>
      <c r="U54" t="str">
        <f>IF(AA54&lt;&gt;"","Simulation","Experiment")</f>
        <v>Experiment</v>
      </c>
      <c r="Z54" t="str">
        <f t="shared" si="4"/>
        <v/>
      </c>
      <c r="AA54" s="2"/>
      <c r="AB54" t="str">
        <f t="shared" si="5"/>
        <v>Local</v>
      </c>
      <c r="AC54" s="2"/>
      <c r="AD54" s="2"/>
      <c r="AE54" s="2"/>
      <c r="AF54" s="2"/>
      <c r="AG54" s="2"/>
      <c r="AH54" s="2"/>
      <c r="AI54" s="2" t="s">
        <v>809</v>
      </c>
      <c r="AJ54" s="2" t="s">
        <v>810</v>
      </c>
      <c r="AK54" t="s">
        <v>811</v>
      </c>
      <c r="AL54" s="2" t="s">
        <v>23</v>
      </c>
      <c r="AM54" s="2" t="s">
        <v>24</v>
      </c>
      <c r="AN54" s="2"/>
      <c r="AO54" s="2" t="s">
        <v>25</v>
      </c>
      <c r="AP54" s="2" t="s">
        <v>812</v>
      </c>
    </row>
    <row r="55" spans="1:42" ht="315" x14ac:dyDescent="0.25">
      <c r="A55" s="2" t="s">
        <v>1024</v>
      </c>
      <c r="B55" s="2" t="s">
        <v>1025</v>
      </c>
      <c r="C55" s="2">
        <v>2010</v>
      </c>
      <c r="D55" s="2" t="s">
        <v>324</v>
      </c>
      <c r="E55" s="2" t="s">
        <v>805</v>
      </c>
      <c r="F55" s="2" t="s">
        <v>80</v>
      </c>
      <c r="G55" s="2"/>
      <c r="H55" s="2">
        <v>225</v>
      </c>
      <c r="I55" s="2">
        <v>247</v>
      </c>
      <c r="J55" s="2">
        <v>22</v>
      </c>
      <c r="K55" s="2">
        <v>32</v>
      </c>
      <c r="L55" s="2" t="s">
        <v>1026</v>
      </c>
      <c r="M55" s="12" t="s">
        <v>1027</v>
      </c>
      <c r="N55" s="14" t="s">
        <v>1641</v>
      </c>
      <c r="O55" s="2"/>
      <c r="P55" s="2"/>
      <c r="Q55" s="2"/>
      <c r="R55" s="2"/>
      <c r="S55" t="str">
        <f>INT(C55/10)*10 &amp; "s"</f>
        <v>2010s</v>
      </c>
      <c r="U55" t="s">
        <v>1618</v>
      </c>
      <c r="V55" t="s">
        <v>1613</v>
      </c>
      <c r="W55" t="s">
        <v>1359</v>
      </c>
      <c r="Z55" t="str">
        <f t="shared" si="4"/>
        <v/>
      </c>
      <c r="AA55" s="2" t="s">
        <v>1507</v>
      </c>
      <c r="AB55" t="str">
        <f t="shared" si="5"/>
        <v>Local</v>
      </c>
      <c r="AC55" s="2" t="s">
        <v>1542</v>
      </c>
      <c r="AD55" s="2" t="s">
        <v>1530</v>
      </c>
      <c r="AE55" s="2" t="s">
        <v>1513</v>
      </c>
      <c r="AF55" s="2"/>
      <c r="AG55" s="2" t="s">
        <v>1508</v>
      </c>
      <c r="AH55" s="2" t="s">
        <v>1540</v>
      </c>
      <c r="AI55" s="2" t="s">
        <v>1029</v>
      </c>
      <c r="AJ55" s="2" t="s">
        <v>1030</v>
      </c>
      <c r="AK55" t="s">
        <v>1031</v>
      </c>
      <c r="AL55" s="2" t="s">
        <v>23</v>
      </c>
      <c r="AM55" s="2" t="s">
        <v>24</v>
      </c>
      <c r="AN55" s="2"/>
      <c r="AO55" s="2" t="s">
        <v>25</v>
      </c>
      <c r="AP55" s="2" t="s">
        <v>1032</v>
      </c>
    </row>
    <row r="56" spans="1:42" ht="180" x14ac:dyDescent="0.25">
      <c r="A56" s="2" t="s">
        <v>639</v>
      </c>
      <c r="B56" s="2" t="s">
        <v>640</v>
      </c>
      <c r="C56" s="2">
        <v>2010</v>
      </c>
      <c r="D56" s="2" t="s">
        <v>388</v>
      </c>
      <c r="E56" s="2" t="s">
        <v>1040</v>
      </c>
      <c r="F56" s="2"/>
      <c r="G56" s="2"/>
      <c r="H56" s="2">
        <v>48</v>
      </c>
      <c r="I56" s="2">
        <v>67</v>
      </c>
      <c r="J56" s="2">
        <v>19</v>
      </c>
      <c r="K56" s="2">
        <v>0</v>
      </c>
      <c r="L56" s="2" t="s">
        <v>1041</v>
      </c>
      <c r="M56" s="12" t="s">
        <v>1042</v>
      </c>
      <c r="N56" s="14" t="s">
        <v>641</v>
      </c>
      <c r="O56" s="2"/>
      <c r="P56" s="2"/>
      <c r="Q56" s="2"/>
      <c r="R56" s="2"/>
      <c r="S56" t="str">
        <f>INT(C56/10)*10 &amp; "s"</f>
        <v>2010s</v>
      </c>
      <c r="U56" t="s">
        <v>1601</v>
      </c>
      <c r="V56" t="s">
        <v>1612</v>
      </c>
      <c r="W56" t="s">
        <v>1685</v>
      </c>
      <c r="Z56" t="str">
        <f t="shared" si="4"/>
        <v/>
      </c>
      <c r="AA56" t="s">
        <v>1501</v>
      </c>
      <c r="AB56" t="str">
        <f t="shared" si="5"/>
        <v>Bulk</v>
      </c>
      <c r="AC56" s="2" t="s">
        <v>1524</v>
      </c>
      <c r="AD56" s="2" t="s">
        <v>1503</v>
      </c>
      <c r="AE56" s="2" t="s">
        <v>1525</v>
      </c>
      <c r="AF56" s="2"/>
      <c r="AG56" s="2" t="s">
        <v>1505</v>
      </c>
      <c r="AH56" s="2" t="s">
        <v>1526</v>
      </c>
      <c r="AI56" s="2" t="s">
        <v>642</v>
      </c>
      <c r="AJ56" s="2" t="s">
        <v>1043</v>
      </c>
      <c r="AK56" t="s">
        <v>1694</v>
      </c>
      <c r="AL56" s="2" t="s">
        <v>29</v>
      </c>
      <c r="AM56" s="2" t="s">
        <v>24</v>
      </c>
      <c r="AN56" s="2"/>
      <c r="AO56" s="2" t="s">
        <v>25</v>
      </c>
      <c r="AP56" s="2" t="s">
        <v>1045</v>
      </c>
    </row>
    <row r="57" spans="1:42" ht="285" x14ac:dyDescent="0.25">
      <c r="A57" s="2" t="s">
        <v>569</v>
      </c>
      <c r="B57" s="2" t="s">
        <v>570</v>
      </c>
      <c r="C57" s="2">
        <v>2011</v>
      </c>
      <c r="D57" s="2" t="s">
        <v>571</v>
      </c>
      <c r="E57" s="2" t="s">
        <v>28</v>
      </c>
      <c r="F57" s="2"/>
      <c r="G57" s="2"/>
      <c r="H57" s="2">
        <v>177</v>
      </c>
      <c r="I57" s="2">
        <v>184</v>
      </c>
      <c r="J57" s="2">
        <v>7</v>
      </c>
      <c r="K57" s="2">
        <v>0</v>
      </c>
      <c r="L57" s="2"/>
      <c r="M57" s="12" t="s">
        <v>572</v>
      </c>
      <c r="N57" s="4" t="s">
        <v>573</v>
      </c>
      <c r="O57" s="2"/>
      <c r="P57" s="2"/>
      <c r="Q57" s="2"/>
      <c r="R57" s="2"/>
      <c r="S57" t="str">
        <f>INT(C57/10)*10 &amp; "s"</f>
        <v>2010s</v>
      </c>
      <c r="U57" t="s">
        <v>429</v>
      </c>
      <c r="Z57" t="str">
        <f t="shared" si="4"/>
        <v/>
      </c>
      <c r="AA57" s="2" t="s">
        <v>1371</v>
      </c>
      <c r="AB57" t="str">
        <f t="shared" si="5"/>
        <v/>
      </c>
      <c r="AC57" s="2"/>
      <c r="AD57" s="2"/>
      <c r="AE57" s="2"/>
      <c r="AF57" s="2"/>
      <c r="AG57" s="2"/>
      <c r="AH57" s="2"/>
      <c r="AI57" s="2" t="s">
        <v>574</v>
      </c>
      <c r="AJ57" s="2" t="s">
        <v>575</v>
      </c>
      <c r="AK57" t="s">
        <v>576</v>
      </c>
      <c r="AL57" s="2" t="s">
        <v>29</v>
      </c>
      <c r="AM57" s="2" t="s">
        <v>24</v>
      </c>
      <c r="AN57" s="2"/>
      <c r="AO57" s="2" t="s">
        <v>25</v>
      </c>
      <c r="AP57" s="2" t="s">
        <v>577</v>
      </c>
    </row>
    <row r="58" spans="1:42" ht="135" hidden="1" x14ac:dyDescent="0.25">
      <c r="A58" s="2" t="s">
        <v>345</v>
      </c>
      <c r="B58" s="2" t="s">
        <v>346</v>
      </c>
      <c r="C58" s="2">
        <v>2019</v>
      </c>
      <c r="D58" s="2" t="s">
        <v>347</v>
      </c>
      <c r="E58" s="2" t="s">
        <v>79</v>
      </c>
      <c r="F58" s="2" t="s">
        <v>28</v>
      </c>
      <c r="G58" s="2"/>
      <c r="H58" s="2">
        <v>518</v>
      </c>
      <c r="I58" s="2">
        <v>536</v>
      </c>
      <c r="J58" s="2">
        <v>18</v>
      </c>
      <c r="K58" s="2">
        <v>3</v>
      </c>
      <c r="L58" s="2" t="s">
        <v>348</v>
      </c>
      <c r="M58" s="2" t="s">
        <v>349</v>
      </c>
      <c r="N58" s="11" t="s">
        <v>350</v>
      </c>
      <c r="O58" s="2"/>
      <c r="P58" s="2" t="s">
        <v>1371</v>
      </c>
      <c r="Q58" s="2"/>
      <c r="R58" s="2"/>
      <c r="S58" s="2"/>
      <c r="T58" s="2"/>
      <c r="U58" s="2"/>
      <c r="V58" s="2"/>
      <c r="W58" s="2"/>
      <c r="X58" s="2"/>
      <c r="Y58" s="2"/>
      <c r="Z58" t="str">
        <f t="shared" si="4"/>
        <v/>
      </c>
      <c r="AA58" s="2"/>
      <c r="AB58" s="2"/>
      <c r="AC58" s="2"/>
      <c r="AD58" s="2"/>
      <c r="AE58" s="2"/>
      <c r="AF58" s="2"/>
      <c r="AG58" s="2"/>
      <c r="AH58" s="2"/>
      <c r="AI58" s="2" t="s">
        <v>351</v>
      </c>
      <c r="AJ58" s="2" t="s">
        <v>352</v>
      </c>
      <c r="AK58" t="s">
        <v>353</v>
      </c>
      <c r="AL58" s="2" t="s">
        <v>23</v>
      </c>
      <c r="AM58" s="2" t="s">
        <v>24</v>
      </c>
      <c r="AN58" s="2" t="s">
        <v>64</v>
      </c>
      <c r="AO58" s="2" t="s">
        <v>25</v>
      </c>
      <c r="AP58" s="2" t="s">
        <v>354</v>
      </c>
    </row>
    <row r="59" spans="1:42" ht="165" x14ac:dyDescent="0.25">
      <c r="A59" s="2" t="s">
        <v>578</v>
      </c>
      <c r="B59" s="2" t="s">
        <v>579</v>
      </c>
      <c r="C59" s="2">
        <v>2012</v>
      </c>
      <c r="D59" s="2" t="s">
        <v>324</v>
      </c>
      <c r="E59" s="2" t="s">
        <v>580</v>
      </c>
      <c r="F59" s="2" t="s">
        <v>80</v>
      </c>
      <c r="G59" s="2"/>
      <c r="H59" s="2">
        <v>267</v>
      </c>
      <c r="I59" s="2">
        <v>302</v>
      </c>
      <c r="J59" s="2">
        <v>35</v>
      </c>
      <c r="K59" s="2">
        <v>159</v>
      </c>
      <c r="L59" s="2" t="s">
        <v>581</v>
      </c>
      <c r="M59" s="12" t="s">
        <v>582</v>
      </c>
      <c r="N59" s="14" t="s">
        <v>583</v>
      </c>
      <c r="O59" s="2"/>
      <c r="P59" s="2"/>
      <c r="Q59" s="2"/>
      <c r="R59" s="2"/>
      <c r="S59" t="str">
        <f>INT(C59/10)*10 &amp; "s"</f>
        <v>2010s</v>
      </c>
      <c r="U59" t="s">
        <v>429</v>
      </c>
      <c r="Z59" t="str">
        <f t="shared" si="4"/>
        <v/>
      </c>
      <c r="AA59" s="2"/>
      <c r="AB59" t="str">
        <f t="shared" ref="AB59:AB67" si="6">IF(AA59="1D","Bulk",
IF(AA59="x","","Local"))</f>
        <v>Local</v>
      </c>
      <c r="AC59" s="2"/>
      <c r="AD59" s="2"/>
      <c r="AE59" s="2"/>
      <c r="AF59" s="2"/>
      <c r="AG59" s="2"/>
      <c r="AH59" s="2"/>
      <c r="AI59" s="2" t="s">
        <v>584</v>
      </c>
      <c r="AJ59" s="2" t="s">
        <v>585</v>
      </c>
      <c r="AK59" t="s">
        <v>586</v>
      </c>
      <c r="AL59" s="2" t="s">
        <v>429</v>
      </c>
      <c r="AM59" s="2" t="s">
        <v>24</v>
      </c>
      <c r="AN59" s="2"/>
      <c r="AO59" s="2" t="s">
        <v>25</v>
      </c>
      <c r="AP59" s="2" t="s">
        <v>587</v>
      </c>
    </row>
    <row r="60" spans="1:42" ht="180" x14ac:dyDescent="0.25">
      <c r="A60" s="2" t="s">
        <v>606</v>
      </c>
      <c r="B60" s="2" t="s">
        <v>607</v>
      </c>
      <c r="C60" s="2">
        <v>2012</v>
      </c>
      <c r="D60" s="2" t="s">
        <v>608</v>
      </c>
      <c r="E60" s="2" t="s">
        <v>398</v>
      </c>
      <c r="F60" s="2" t="s">
        <v>80</v>
      </c>
      <c r="G60" s="2"/>
      <c r="H60" s="2">
        <v>281</v>
      </c>
      <c r="I60" s="2">
        <v>296</v>
      </c>
      <c r="J60" s="2">
        <v>15</v>
      </c>
      <c r="K60" s="2">
        <v>5</v>
      </c>
      <c r="L60" s="2" t="s">
        <v>609</v>
      </c>
      <c r="M60" s="12" t="s">
        <v>610</v>
      </c>
      <c r="N60" s="14" t="s">
        <v>1369</v>
      </c>
      <c r="O60" s="2"/>
      <c r="P60" s="2"/>
      <c r="Q60" s="2"/>
      <c r="R60" s="2"/>
      <c r="S60" t="str">
        <f>INT(C60/10)*10 &amp; "s"</f>
        <v>2010s</v>
      </c>
      <c r="U60" t="s">
        <v>1618</v>
      </c>
      <c r="V60" t="s">
        <v>1613</v>
      </c>
      <c r="W60" t="s">
        <v>1359</v>
      </c>
      <c r="Z60" t="str">
        <f t="shared" si="4"/>
        <v/>
      </c>
      <c r="AA60" s="2"/>
      <c r="AB60" t="str">
        <f t="shared" si="6"/>
        <v>Local</v>
      </c>
      <c r="AC60" s="2"/>
      <c r="AD60" s="2"/>
      <c r="AE60" s="2"/>
      <c r="AF60" s="2"/>
      <c r="AG60" s="2"/>
      <c r="AH60" s="2"/>
      <c r="AI60" s="2" t="s">
        <v>611</v>
      </c>
      <c r="AJ60" s="2" t="s">
        <v>612</v>
      </c>
      <c r="AK60" t="s">
        <v>613</v>
      </c>
      <c r="AL60" s="2" t="s">
        <v>23</v>
      </c>
      <c r="AM60" s="2" t="s">
        <v>24</v>
      </c>
      <c r="AN60" s="2" t="s">
        <v>41</v>
      </c>
      <c r="AO60" s="2" t="s">
        <v>25</v>
      </c>
      <c r="AP60" s="2" t="s">
        <v>614</v>
      </c>
    </row>
    <row r="61" spans="1:42" ht="300" x14ac:dyDescent="0.25">
      <c r="A61" s="2" t="s">
        <v>785</v>
      </c>
      <c r="B61" s="2" t="s">
        <v>786</v>
      </c>
      <c r="C61" s="2">
        <v>2012</v>
      </c>
      <c r="D61" s="2" t="s">
        <v>45</v>
      </c>
      <c r="E61" s="2" t="s">
        <v>58</v>
      </c>
      <c r="F61" s="2"/>
      <c r="G61" s="2"/>
      <c r="H61" s="2">
        <v>208</v>
      </c>
      <c r="I61" s="2">
        <v>218</v>
      </c>
      <c r="J61" s="2">
        <v>10</v>
      </c>
      <c r="K61" s="2">
        <v>33</v>
      </c>
      <c r="L61" s="2" t="s">
        <v>787</v>
      </c>
      <c r="M61" s="12" t="s">
        <v>788</v>
      </c>
      <c r="N61" s="14" t="s">
        <v>1642</v>
      </c>
      <c r="O61" s="2"/>
      <c r="P61" s="2"/>
      <c r="Q61" s="2"/>
      <c r="R61" s="2"/>
      <c r="S61" t="str">
        <f>INT(C61/10)*10 &amp; "s"</f>
        <v>2010s</v>
      </c>
      <c r="U61" t="s">
        <v>1601</v>
      </c>
      <c r="V61" t="s">
        <v>1612</v>
      </c>
      <c r="W61" t="s">
        <v>1685</v>
      </c>
      <c r="Z61" t="str">
        <f t="shared" si="4"/>
        <v/>
      </c>
      <c r="AA61" s="2" t="s">
        <v>786</v>
      </c>
      <c r="AB61" t="str">
        <f t="shared" si="6"/>
        <v>Local</v>
      </c>
      <c r="AC61" s="2">
        <v>2012</v>
      </c>
      <c r="AD61" t="s">
        <v>1507</v>
      </c>
      <c r="AE61" s="2" t="s">
        <v>1502</v>
      </c>
      <c r="AF61" s="2" t="s">
        <v>1530</v>
      </c>
      <c r="AG61" s="2" t="s">
        <v>1543</v>
      </c>
      <c r="AH61" s="2"/>
      <c r="AI61" s="2" t="s">
        <v>790</v>
      </c>
      <c r="AJ61" s="2" t="s">
        <v>791</v>
      </c>
      <c r="AK61" t="s">
        <v>1643</v>
      </c>
      <c r="AL61" s="2" t="s">
        <v>23</v>
      </c>
      <c r="AM61" s="2" t="s">
        <v>24</v>
      </c>
      <c r="AN61" s="2" t="s">
        <v>41</v>
      </c>
      <c r="AO61" s="2" t="s">
        <v>25</v>
      </c>
      <c r="AP61" s="2" t="s">
        <v>793</v>
      </c>
    </row>
    <row r="62" spans="1:42" ht="180" x14ac:dyDescent="0.25">
      <c r="A62" s="2" t="s">
        <v>909</v>
      </c>
      <c r="B62" s="2" t="s">
        <v>910</v>
      </c>
      <c r="C62" s="2">
        <v>2012</v>
      </c>
      <c r="D62" s="2" t="s">
        <v>26</v>
      </c>
      <c r="E62" s="2" t="s">
        <v>911</v>
      </c>
      <c r="F62" s="2" t="s">
        <v>28</v>
      </c>
      <c r="G62" s="2" t="s">
        <v>912</v>
      </c>
      <c r="H62" s="2"/>
      <c r="I62" s="2"/>
      <c r="J62" s="2"/>
      <c r="K62" s="2">
        <v>2</v>
      </c>
      <c r="L62" s="2" t="s">
        <v>913</v>
      </c>
      <c r="M62" s="12" t="s">
        <v>914</v>
      </c>
      <c r="N62" s="4" t="s">
        <v>915</v>
      </c>
      <c r="O62" s="2"/>
      <c r="P62" s="2"/>
      <c r="Q62" s="2"/>
      <c r="R62" s="2"/>
      <c r="S62" t="str">
        <f>INT(C62/10)*10 &amp; "s"</f>
        <v>2010s</v>
      </c>
      <c r="T62" t="s">
        <v>1603</v>
      </c>
      <c r="U62" t="s">
        <v>1601</v>
      </c>
      <c r="V62" t="s">
        <v>1612</v>
      </c>
      <c r="W62" t="s">
        <v>1685</v>
      </c>
      <c r="Z62" t="str">
        <f t="shared" si="4"/>
        <v/>
      </c>
      <c r="AA62" s="2"/>
      <c r="AB62" t="str">
        <f t="shared" si="6"/>
        <v>Local</v>
      </c>
      <c r="AC62" s="2"/>
      <c r="AD62" s="2"/>
      <c r="AE62" s="2"/>
      <c r="AF62" s="2"/>
      <c r="AG62" s="2"/>
      <c r="AH62" s="2"/>
      <c r="AI62" s="2"/>
      <c r="AJ62" s="2" t="s">
        <v>916</v>
      </c>
      <c r="AK62" t="s">
        <v>1644</v>
      </c>
      <c r="AL62" s="2" t="s">
        <v>29</v>
      </c>
      <c r="AM62" s="2" t="s">
        <v>24</v>
      </c>
      <c r="AN62" s="2" t="s">
        <v>64</v>
      </c>
      <c r="AO62" s="2" t="s">
        <v>25</v>
      </c>
      <c r="AP62" s="2" t="s">
        <v>918</v>
      </c>
    </row>
    <row r="63" spans="1:42" ht="210" x14ac:dyDescent="0.25">
      <c r="A63" s="2" t="s">
        <v>939</v>
      </c>
      <c r="B63" s="2" t="s">
        <v>940</v>
      </c>
      <c r="C63" s="2">
        <v>2012</v>
      </c>
      <c r="D63" s="2" t="s">
        <v>941</v>
      </c>
      <c r="E63" s="2" t="s">
        <v>72</v>
      </c>
      <c r="F63" s="2" t="s">
        <v>22</v>
      </c>
      <c r="G63" s="2"/>
      <c r="H63" s="2">
        <v>75</v>
      </c>
      <c r="I63" s="2">
        <v>91</v>
      </c>
      <c r="J63" s="2">
        <v>16</v>
      </c>
      <c r="K63" s="2">
        <v>32</v>
      </c>
      <c r="L63" s="2" t="s">
        <v>942</v>
      </c>
      <c r="M63" s="12" t="s">
        <v>943</v>
      </c>
      <c r="N63" s="4" t="s">
        <v>944</v>
      </c>
      <c r="O63" s="2"/>
      <c r="P63" s="2"/>
      <c r="Q63" s="2"/>
      <c r="R63" s="2"/>
      <c r="S63" t="str">
        <f>INT(C63/10)*10 &amp; "s"</f>
        <v>2010s</v>
      </c>
      <c r="U63" t="s">
        <v>1618</v>
      </c>
      <c r="V63" t="s">
        <v>1613</v>
      </c>
      <c r="W63" t="s">
        <v>1685</v>
      </c>
      <c r="Z63" t="str">
        <f t="shared" si="4"/>
        <v/>
      </c>
      <c r="AA63" s="2"/>
      <c r="AB63" t="str">
        <f t="shared" si="6"/>
        <v>Local</v>
      </c>
      <c r="AC63" s="2"/>
      <c r="AD63" s="2"/>
      <c r="AE63" s="2"/>
      <c r="AF63" s="2"/>
      <c r="AG63" s="2"/>
      <c r="AH63" s="2"/>
      <c r="AI63" s="2" t="s">
        <v>945</v>
      </c>
      <c r="AJ63" s="2" t="s">
        <v>946</v>
      </c>
      <c r="AK63" t="s">
        <v>947</v>
      </c>
      <c r="AL63" s="2" t="s">
        <v>23</v>
      </c>
      <c r="AM63" s="2" t="s">
        <v>24</v>
      </c>
      <c r="AN63" s="2" t="s">
        <v>41</v>
      </c>
      <c r="AO63" s="2" t="s">
        <v>25</v>
      </c>
      <c r="AP63" s="2" t="s">
        <v>948</v>
      </c>
    </row>
    <row r="64" spans="1:42" ht="105" x14ac:dyDescent="0.25">
      <c r="A64" t="s">
        <v>1442</v>
      </c>
      <c r="B64" s="4" t="s">
        <v>1443</v>
      </c>
      <c r="C64" s="28">
        <v>2013</v>
      </c>
      <c r="D64" s="2" t="s">
        <v>1444</v>
      </c>
      <c r="E64">
        <v>2013</v>
      </c>
      <c r="F64" s="27"/>
      <c r="G64" s="27"/>
      <c r="H64" s="27"/>
      <c r="I64" s="27"/>
      <c r="J64" s="27"/>
      <c r="K64" s="27"/>
      <c r="L64" s="27"/>
      <c r="M64" s="27"/>
      <c r="N64" s="2" t="s">
        <v>1446</v>
      </c>
      <c r="O64" s="27"/>
      <c r="P64" s="27"/>
      <c r="Q64" s="28" t="s">
        <v>1645</v>
      </c>
      <c r="R64" s="28"/>
      <c r="S64" t="str">
        <f>INT(C64/10)*10 &amp; "s"</f>
        <v>2010s</v>
      </c>
      <c r="U64" t="s">
        <v>429</v>
      </c>
      <c r="Z64" t="str">
        <f t="shared" si="4"/>
        <v/>
      </c>
      <c r="AA64" s="28"/>
      <c r="AB64" t="str">
        <f t="shared" si="6"/>
        <v>Local</v>
      </c>
      <c r="AC64" s="28"/>
      <c r="AD64" s="28"/>
      <c r="AE64" s="28"/>
      <c r="AF64" s="28"/>
      <c r="AG64" s="28"/>
      <c r="AH64" s="28"/>
      <c r="AI64" s="27"/>
      <c r="AJ64" s="27"/>
      <c r="AK64" s="27"/>
      <c r="AL64" s="27"/>
      <c r="AM64" s="27"/>
      <c r="AN64" s="27"/>
      <c r="AO64" s="27"/>
      <c r="AP64" s="27"/>
    </row>
    <row r="65" spans="1:42" ht="210" x14ac:dyDescent="0.25">
      <c r="A65" s="2" t="s">
        <v>615</v>
      </c>
      <c r="B65" s="2" t="s">
        <v>616</v>
      </c>
      <c r="C65" s="2">
        <v>2013</v>
      </c>
      <c r="D65" s="2" t="s">
        <v>617</v>
      </c>
      <c r="E65" s="2"/>
      <c r="F65" s="2"/>
      <c r="G65" s="2"/>
      <c r="H65" s="2"/>
      <c r="I65" s="2"/>
      <c r="J65" s="2"/>
      <c r="K65" s="2">
        <v>10</v>
      </c>
      <c r="L65" s="2"/>
      <c r="M65" s="2" t="s">
        <v>618</v>
      </c>
      <c r="N65" s="4" t="s">
        <v>619</v>
      </c>
      <c r="O65" s="2"/>
      <c r="P65" s="2"/>
      <c r="Q65" s="2"/>
      <c r="R65" s="2"/>
      <c r="S65" t="str">
        <f>INT(C65/10)*10 &amp; "s"</f>
        <v>2010s</v>
      </c>
      <c r="U65" t="str">
        <f>IF(AA65&lt;&gt;"","Simulation","Experiment")</f>
        <v>Experiment</v>
      </c>
      <c r="Z65" t="str">
        <f t="shared" si="4"/>
        <v/>
      </c>
      <c r="AA65" s="2"/>
      <c r="AB65" t="str">
        <f t="shared" si="6"/>
        <v>Local</v>
      </c>
      <c r="AC65" s="2"/>
      <c r="AD65" s="2"/>
      <c r="AE65" s="2"/>
      <c r="AF65" s="2"/>
      <c r="AG65" s="2"/>
      <c r="AH65" s="2"/>
      <c r="AI65" s="2"/>
      <c r="AJ65" s="2" t="s">
        <v>620</v>
      </c>
      <c r="AK65" t="s">
        <v>621</v>
      </c>
      <c r="AL65" s="2" t="s">
        <v>29</v>
      </c>
      <c r="AM65" s="2" t="s">
        <v>24</v>
      </c>
      <c r="AN65" s="2"/>
      <c r="AO65" s="2" t="s">
        <v>25</v>
      </c>
      <c r="AP65" s="2" t="s">
        <v>622</v>
      </c>
    </row>
    <row r="66" spans="1:42" ht="225" x14ac:dyDescent="0.25">
      <c r="A66" s="2" t="s">
        <v>690</v>
      </c>
      <c r="B66" s="2" t="s">
        <v>691</v>
      </c>
      <c r="C66" s="2">
        <v>2013</v>
      </c>
      <c r="D66" s="2" t="s">
        <v>617</v>
      </c>
      <c r="E66" s="2"/>
      <c r="F66" s="2"/>
      <c r="G66" s="2"/>
      <c r="H66" s="2"/>
      <c r="I66" s="2"/>
      <c r="J66" s="2"/>
      <c r="K66" s="2">
        <v>3</v>
      </c>
      <c r="L66" s="2"/>
      <c r="M66" s="2" t="s">
        <v>692</v>
      </c>
      <c r="N66" s="4" t="s">
        <v>693</v>
      </c>
      <c r="O66" s="2"/>
      <c r="P66" s="2"/>
      <c r="Q66" s="2"/>
      <c r="R66" s="2"/>
      <c r="S66" t="str">
        <f>INT(C66/10)*10 &amp; "s"</f>
        <v>2010s</v>
      </c>
      <c r="U66" t="str">
        <f>IF(AA66&lt;&gt;"","Simulation","Experiment")</f>
        <v>Experiment</v>
      </c>
      <c r="X66" t="s">
        <v>1607</v>
      </c>
      <c r="Z66" t="str">
        <f t="shared" si="4"/>
        <v/>
      </c>
      <c r="AA66" s="2"/>
      <c r="AB66" t="str">
        <f t="shared" si="6"/>
        <v>Local</v>
      </c>
      <c r="AC66" s="2"/>
      <c r="AD66" s="2"/>
      <c r="AE66" s="2"/>
      <c r="AF66" s="2"/>
      <c r="AG66" s="2"/>
      <c r="AH66" s="2"/>
      <c r="AI66" s="2"/>
      <c r="AJ66" s="2" t="s">
        <v>694</v>
      </c>
      <c r="AK66" t="s">
        <v>1695</v>
      </c>
      <c r="AL66" s="2" t="s">
        <v>29</v>
      </c>
      <c r="AM66" s="2" t="s">
        <v>24</v>
      </c>
      <c r="AN66" s="2"/>
      <c r="AO66" s="2" t="s">
        <v>25</v>
      </c>
      <c r="AP66" s="2" t="s">
        <v>696</v>
      </c>
    </row>
    <row r="67" spans="1:42" ht="135" x14ac:dyDescent="0.25">
      <c r="A67" s="2" t="s">
        <v>704</v>
      </c>
      <c r="B67" s="2" t="s">
        <v>705</v>
      </c>
      <c r="C67" s="2">
        <v>2013</v>
      </c>
      <c r="D67" s="2" t="s">
        <v>324</v>
      </c>
      <c r="E67" s="2" t="s">
        <v>333</v>
      </c>
      <c r="F67" s="2" t="s">
        <v>153</v>
      </c>
      <c r="G67" s="2"/>
      <c r="H67" s="2">
        <v>375</v>
      </c>
      <c r="I67" s="2">
        <v>397</v>
      </c>
      <c r="J67" s="2">
        <v>22</v>
      </c>
      <c r="K67" s="2">
        <v>11</v>
      </c>
      <c r="L67" s="2" t="s">
        <v>706</v>
      </c>
      <c r="M67" s="12" t="s">
        <v>707</v>
      </c>
      <c r="N67" s="14" t="s">
        <v>708</v>
      </c>
      <c r="O67" s="2"/>
      <c r="P67" s="2"/>
      <c r="Q67" s="2"/>
      <c r="R67" s="2"/>
      <c r="S67" t="str">
        <f>INT(C67/10)*10 &amp; "s"</f>
        <v>2010s</v>
      </c>
      <c r="U67" t="s">
        <v>1618</v>
      </c>
      <c r="V67" t="s">
        <v>1613</v>
      </c>
      <c r="W67" t="s">
        <v>1359</v>
      </c>
      <c r="Z67" t="str">
        <f t="shared" si="4"/>
        <v/>
      </c>
      <c r="AA67" s="2"/>
      <c r="AB67" t="str">
        <f t="shared" si="6"/>
        <v>Local</v>
      </c>
      <c r="AC67" s="2"/>
      <c r="AD67" s="2"/>
      <c r="AE67" s="2"/>
      <c r="AF67" s="2"/>
      <c r="AG67" s="2"/>
      <c r="AH67" s="2"/>
      <c r="AI67" s="2" t="s">
        <v>709</v>
      </c>
      <c r="AJ67" s="2" t="s">
        <v>710</v>
      </c>
      <c r="AK67" t="s">
        <v>1646</v>
      </c>
      <c r="AL67" s="2" t="s">
        <v>23</v>
      </c>
      <c r="AM67" s="2" t="s">
        <v>24</v>
      </c>
      <c r="AN67" s="2" t="s">
        <v>41</v>
      </c>
      <c r="AO67" s="2" t="s">
        <v>25</v>
      </c>
      <c r="AP67" s="2" t="s">
        <v>712</v>
      </c>
    </row>
    <row r="68" spans="1:42" ht="345" hidden="1" x14ac:dyDescent="0.25">
      <c r="A68" s="2" t="s">
        <v>867</v>
      </c>
      <c r="B68" s="2" t="s">
        <v>868</v>
      </c>
      <c r="C68" s="2">
        <v>2017</v>
      </c>
      <c r="D68" s="2" t="s">
        <v>45</v>
      </c>
      <c r="E68" s="2" t="s">
        <v>66</v>
      </c>
      <c r="F68" s="2"/>
      <c r="G68" s="2"/>
      <c r="H68" s="2">
        <v>153</v>
      </c>
      <c r="I68" s="2">
        <v>168</v>
      </c>
      <c r="J68" s="2">
        <v>15</v>
      </c>
      <c r="K68" s="2">
        <v>78</v>
      </c>
      <c r="L68" s="2" t="s">
        <v>869</v>
      </c>
      <c r="M68" s="2" t="s">
        <v>870</v>
      </c>
      <c r="N68" s="11" t="s">
        <v>871</v>
      </c>
      <c r="O68" s="2"/>
      <c r="P68" s="2" t="s">
        <v>1371</v>
      </c>
      <c r="Q68" s="2"/>
      <c r="R68" s="2"/>
      <c r="S68" s="2"/>
      <c r="T68" s="2"/>
      <c r="U68" s="2"/>
      <c r="V68" s="2"/>
      <c r="W68" s="2"/>
      <c r="X68" s="2"/>
      <c r="Y68" s="2"/>
      <c r="Z68" t="str">
        <f t="shared" si="4"/>
        <v/>
      </c>
      <c r="AA68" s="2"/>
      <c r="AB68" s="2"/>
      <c r="AC68" s="2"/>
      <c r="AD68" s="2"/>
      <c r="AE68" s="2"/>
      <c r="AF68" s="2"/>
      <c r="AG68" s="2"/>
      <c r="AH68" s="2"/>
      <c r="AI68" s="2" t="s">
        <v>872</v>
      </c>
      <c r="AJ68" s="2" t="s">
        <v>873</v>
      </c>
      <c r="AK68" t="s">
        <v>874</v>
      </c>
      <c r="AL68" s="2" t="s">
        <v>23</v>
      </c>
      <c r="AM68" s="2" t="s">
        <v>24</v>
      </c>
      <c r="AN68" s="2" t="s">
        <v>86</v>
      </c>
      <c r="AO68" s="2" t="s">
        <v>25</v>
      </c>
      <c r="AP68" s="2" t="s">
        <v>875</v>
      </c>
    </row>
    <row r="69" spans="1:42" ht="120" x14ac:dyDescent="0.25">
      <c r="A69" s="2" t="s">
        <v>777</v>
      </c>
      <c r="B69" s="2" t="s">
        <v>778</v>
      </c>
      <c r="C69" s="2">
        <v>2013</v>
      </c>
      <c r="D69" s="2" t="s">
        <v>492</v>
      </c>
      <c r="E69" s="2" t="s">
        <v>22</v>
      </c>
      <c r="F69" s="2" t="s">
        <v>28</v>
      </c>
      <c r="G69" s="2"/>
      <c r="H69" s="2">
        <v>42</v>
      </c>
      <c r="I69" s="2">
        <v>49</v>
      </c>
      <c r="J69" s="2">
        <v>7</v>
      </c>
      <c r="K69" s="2">
        <v>14</v>
      </c>
      <c r="L69" s="2" t="s">
        <v>779</v>
      </c>
      <c r="M69" s="12" t="s">
        <v>780</v>
      </c>
      <c r="N69" s="14" t="s">
        <v>781</v>
      </c>
      <c r="O69" s="2"/>
      <c r="P69" s="2"/>
      <c r="Q69" s="2"/>
      <c r="R69" s="2"/>
      <c r="S69" t="str">
        <f>INT(C69/10)*10 &amp; "s"</f>
        <v>2010s</v>
      </c>
      <c r="U69" t="str">
        <f>IF(AA69&lt;&gt;"","Simulation","Experiment")</f>
        <v>Simulation</v>
      </c>
      <c r="V69" t="s">
        <v>1619</v>
      </c>
      <c r="W69" t="s">
        <v>1359</v>
      </c>
      <c r="Z69" t="str">
        <f t="shared" si="4"/>
        <v/>
      </c>
      <c r="AA69" t="s">
        <v>1545</v>
      </c>
      <c r="AB69" t="str">
        <f t="shared" ref="AB69:AB80" si="7">IF(AA69="1D","Bulk",
IF(AA69="x","","Local"))</f>
        <v>Local</v>
      </c>
      <c r="AC69" s="2" t="s">
        <v>1523</v>
      </c>
      <c r="AD69" s="2" t="s">
        <v>1503</v>
      </c>
      <c r="AE69" s="2" t="s">
        <v>1525</v>
      </c>
      <c r="AF69" s="2"/>
      <c r="AG69" s="2" t="s">
        <v>1508</v>
      </c>
      <c r="AH69" s="2" t="s">
        <v>1546</v>
      </c>
      <c r="AI69" s="2" t="s">
        <v>782</v>
      </c>
      <c r="AJ69" s="2"/>
      <c r="AK69" t="s">
        <v>783</v>
      </c>
      <c r="AL69" s="2" t="s">
        <v>23</v>
      </c>
      <c r="AM69" s="2" t="s">
        <v>24</v>
      </c>
      <c r="AN69" s="2" t="s">
        <v>30</v>
      </c>
      <c r="AO69" s="2" t="s">
        <v>25</v>
      </c>
      <c r="AP69" s="2" t="s">
        <v>784</v>
      </c>
    </row>
    <row r="70" spans="1:42" ht="150" x14ac:dyDescent="0.25">
      <c r="A70" s="2" t="s">
        <v>857</v>
      </c>
      <c r="B70" s="2" t="s">
        <v>858</v>
      </c>
      <c r="C70" s="2">
        <v>2013</v>
      </c>
      <c r="D70" s="2" t="s">
        <v>196</v>
      </c>
      <c r="E70" s="2" t="s">
        <v>652</v>
      </c>
      <c r="F70" s="2" t="s">
        <v>859</v>
      </c>
      <c r="G70" s="2"/>
      <c r="H70" s="2">
        <v>461</v>
      </c>
      <c r="I70" s="2">
        <v>470</v>
      </c>
      <c r="J70" s="2">
        <v>9</v>
      </c>
      <c r="K70" s="2">
        <v>2</v>
      </c>
      <c r="L70" s="2" t="s">
        <v>860</v>
      </c>
      <c r="M70" s="2" t="s">
        <v>861</v>
      </c>
      <c r="N70" s="4" t="s">
        <v>862</v>
      </c>
      <c r="O70" s="2" t="s">
        <v>1368</v>
      </c>
      <c r="P70" s="2"/>
      <c r="Q70" s="2"/>
      <c r="R70" s="2"/>
      <c r="S70" t="str">
        <f>INT(C70/10)*10 &amp; "s"</f>
        <v>2010s</v>
      </c>
      <c r="U70" t="s">
        <v>1618</v>
      </c>
      <c r="V70" t="s">
        <v>1613</v>
      </c>
      <c r="W70" t="s">
        <v>1685</v>
      </c>
      <c r="Z70" t="str">
        <f t="shared" si="4"/>
        <v/>
      </c>
      <c r="AA70" t="s">
        <v>1507</v>
      </c>
      <c r="AB70" t="str">
        <f t="shared" si="7"/>
        <v>Local</v>
      </c>
      <c r="AC70" s="2" t="s">
        <v>1502</v>
      </c>
      <c r="AD70" s="2" t="s">
        <v>1544</v>
      </c>
      <c r="AE70" s="2" t="s">
        <v>1513</v>
      </c>
      <c r="AF70" s="2"/>
      <c r="AG70" s="2" t="s">
        <v>1508</v>
      </c>
      <c r="AH70" s="2" t="s">
        <v>1514</v>
      </c>
      <c r="AI70" s="2" t="s">
        <v>863</v>
      </c>
      <c r="AJ70" s="2" t="s">
        <v>864</v>
      </c>
      <c r="AK70" t="s">
        <v>865</v>
      </c>
      <c r="AL70" s="2" t="s">
        <v>23</v>
      </c>
      <c r="AM70" s="2" t="s">
        <v>24</v>
      </c>
      <c r="AN70" s="2" t="s">
        <v>198</v>
      </c>
      <c r="AO70" s="2" t="s">
        <v>25</v>
      </c>
      <c r="AP70" s="2" t="s">
        <v>866</v>
      </c>
    </row>
    <row r="71" spans="1:42" ht="195" x14ac:dyDescent="0.25">
      <c r="A71" s="2" t="s">
        <v>968</v>
      </c>
      <c r="B71" s="2" t="s">
        <v>1647</v>
      </c>
      <c r="C71" s="2">
        <v>2013</v>
      </c>
      <c r="D71" s="2" t="s">
        <v>617</v>
      </c>
      <c r="E71" s="2"/>
      <c r="F71" s="2"/>
      <c r="G71" s="2"/>
      <c r="H71" s="2"/>
      <c r="I71" s="2"/>
      <c r="J71" s="2"/>
      <c r="K71" s="2">
        <v>11</v>
      </c>
      <c r="L71" s="2"/>
      <c r="M71" s="2" t="s">
        <v>970</v>
      </c>
      <c r="N71" s="4" t="s">
        <v>1648</v>
      </c>
      <c r="O71" s="2"/>
      <c r="P71" s="2"/>
      <c r="Q71" s="2"/>
      <c r="R71" s="2"/>
      <c r="S71" t="str">
        <f>INT(C71/10)*10 &amp; "s"</f>
        <v>2010s</v>
      </c>
      <c r="U71" t="str">
        <f>IF(AA71&lt;&gt;"","Simulation","Experiment")</f>
        <v>Experiment</v>
      </c>
      <c r="X71" t="s">
        <v>1607</v>
      </c>
      <c r="Z71" t="str">
        <f t="shared" si="4"/>
        <v/>
      </c>
      <c r="AA71" s="2"/>
      <c r="AB71" t="str">
        <f t="shared" si="7"/>
        <v>Local</v>
      </c>
      <c r="AC71" s="2"/>
      <c r="AD71" s="2"/>
      <c r="AE71" s="2"/>
      <c r="AF71" s="2"/>
      <c r="AG71" s="2"/>
      <c r="AH71" s="2"/>
      <c r="AI71" s="2"/>
      <c r="AJ71" s="2" t="s">
        <v>1649</v>
      </c>
      <c r="AK71" t="s">
        <v>973</v>
      </c>
      <c r="AL71" s="2" t="s">
        <v>29</v>
      </c>
      <c r="AM71" s="2" t="s">
        <v>24</v>
      </c>
      <c r="AN71" s="2"/>
      <c r="AO71" s="2" t="s">
        <v>25</v>
      </c>
      <c r="AP71" s="2" t="s">
        <v>974</v>
      </c>
    </row>
    <row r="72" spans="1:42" ht="135" x14ac:dyDescent="0.25">
      <c r="A72" s="2" t="s">
        <v>1000</v>
      </c>
      <c r="B72" s="2" t="s">
        <v>1001</v>
      </c>
      <c r="C72" s="2">
        <v>2013</v>
      </c>
      <c r="D72" s="2" t="s">
        <v>175</v>
      </c>
      <c r="E72" s="2" t="s">
        <v>1002</v>
      </c>
      <c r="F72" s="2"/>
      <c r="G72" s="2"/>
      <c r="H72" s="2">
        <v>146</v>
      </c>
      <c r="I72" s="2">
        <v>158</v>
      </c>
      <c r="J72" s="2">
        <v>12</v>
      </c>
      <c r="K72" s="2">
        <v>24</v>
      </c>
      <c r="L72" s="2" t="s">
        <v>1003</v>
      </c>
      <c r="M72" s="12" t="s">
        <v>1004</v>
      </c>
      <c r="N72" s="14" t="s">
        <v>1005</v>
      </c>
      <c r="O72" s="2"/>
      <c r="P72" s="2"/>
      <c r="Q72" s="2"/>
      <c r="R72" s="2"/>
      <c r="S72" t="str">
        <f>INT(C72/10)*10 &amp; "s"</f>
        <v>2010s</v>
      </c>
      <c r="T72" t="s">
        <v>1602</v>
      </c>
      <c r="U72" t="s">
        <v>1601</v>
      </c>
      <c r="V72" t="s">
        <v>1612</v>
      </c>
      <c r="W72" t="s">
        <v>1685</v>
      </c>
      <c r="Z72" t="str">
        <f t="shared" si="4"/>
        <v/>
      </c>
      <c r="AA72" s="2"/>
      <c r="AB72" t="str">
        <f t="shared" si="7"/>
        <v>Local</v>
      </c>
      <c r="AC72" s="2"/>
      <c r="AD72" s="2"/>
      <c r="AE72" s="2"/>
      <c r="AF72" s="2"/>
      <c r="AG72" s="2"/>
      <c r="AH72" s="2"/>
      <c r="AI72" s="2" t="s">
        <v>1006</v>
      </c>
      <c r="AJ72" s="2" t="s">
        <v>1007</v>
      </c>
      <c r="AK72" t="s">
        <v>1650</v>
      </c>
      <c r="AL72" s="2" t="s">
        <v>23</v>
      </c>
      <c r="AM72" s="2" t="s">
        <v>24</v>
      </c>
      <c r="AN72" s="2"/>
      <c r="AO72" s="2" t="s">
        <v>25</v>
      </c>
      <c r="AP72" s="2" t="s">
        <v>1009</v>
      </c>
    </row>
    <row r="73" spans="1:42" ht="195" x14ac:dyDescent="0.25">
      <c r="A73" s="2" t="s">
        <v>681</v>
      </c>
      <c r="B73" s="2" t="s">
        <v>682</v>
      </c>
      <c r="C73" s="2">
        <v>2014</v>
      </c>
      <c r="D73" s="2" t="s">
        <v>175</v>
      </c>
      <c r="E73" s="2" t="s">
        <v>683</v>
      </c>
      <c r="F73" s="2"/>
      <c r="G73" s="2"/>
      <c r="H73" s="2">
        <v>92</v>
      </c>
      <c r="I73" s="2">
        <v>104</v>
      </c>
      <c r="J73" s="2">
        <v>12</v>
      </c>
      <c r="K73" s="2">
        <v>52</v>
      </c>
      <c r="L73" s="2" t="s">
        <v>684</v>
      </c>
      <c r="M73" s="2" t="s">
        <v>685</v>
      </c>
      <c r="N73" s="3" t="s">
        <v>686</v>
      </c>
      <c r="O73" s="2"/>
      <c r="P73" s="2"/>
      <c r="Q73" s="2"/>
      <c r="R73" s="2"/>
      <c r="S73" t="str">
        <f>INT(C73/10)*10 &amp; "s"</f>
        <v>2010s</v>
      </c>
      <c r="U73" t="s">
        <v>1618</v>
      </c>
      <c r="V73" t="s">
        <v>1613</v>
      </c>
      <c r="W73" t="s">
        <v>1359</v>
      </c>
      <c r="Z73" t="str">
        <f t="shared" si="4"/>
        <v/>
      </c>
      <c r="AA73" s="2"/>
      <c r="AB73" t="str">
        <f t="shared" si="7"/>
        <v>Local</v>
      </c>
      <c r="AC73" s="2"/>
      <c r="AD73" s="2"/>
      <c r="AE73" s="2"/>
      <c r="AF73" s="2"/>
      <c r="AG73" s="2"/>
      <c r="AH73" s="2"/>
      <c r="AI73" s="2" t="s">
        <v>687</v>
      </c>
      <c r="AJ73" s="2"/>
      <c r="AK73" t="s">
        <v>688</v>
      </c>
      <c r="AL73" s="2" t="s">
        <v>23</v>
      </c>
      <c r="AM73" s="2" t="s">
        <v>24</v>
      </c>
      <c r="AN73" s="2" t="s">
        <v>41</v>
      </c>
      <c r="AO73" s="2" t="s">
        <v>25</v>
      </c>
      <c r="AP73" s="2" t="s">
        <v>689</v>
      </c>
    </row>
    <row r="74" spans="1:42" ht="165" x14ac:dyDescent="0.25">
      <c r="A74" s="2" t="s">
        <v>750</v>
      </c>
      <c r="B74" s="2" t="s">
        <v>751</v>
      </c>
      <c r="C74" s="2">
        <v>2014</v>
      </c>
      <c r="D74" s="2" t="s">
        <v>45</v>
      </c>
      <c r="E74" s="2" t="s">
        <v>752</v>
      </c>
      <c r="F74" s="2"/>
      <c r="G74" s="2"/>
      <c r="H74" s="2">
        <v>340</v>
      </c>
      <c r="I74" s="2">
        <v>353</v>
      </c>
      <c r="J74" s="2">
        <v>13</v>
      </c>
      <c r="K74" s="2">
        <v>77</v>
      </c>
      <c r="L74" s="2" t="s">
        <v>753</v>
      </c>
      <c r="M74" s="2" t="s">
        <v>754</v>
      </c>
      <c r="N74" s="4" t="s">
        <v>755</v>
      </c>
      <c r="O74" s="2"/>
      <c r="P74" s="2"/>
      <c r="Q74" s="2"/>
      <c r="R74" s="2"/>
      <c r="S74" t="str">
        <f>INT(C74/10)*10 &amp; "s"</f>
        <v>2010s</v>
      </c>
      <c r="T74" t="s">
        <v>1602</v>
      </c>
      <c r="U74" t="s">
        <v>1601</v>
      </c>
      <c r="V74" t="s">
        <v>1612</v>
      </c>
      <c r="W74" t="s">
        <v>1685</v>
      </c>
      <c r="Z74" t="str">
        <f t="shared" si="4"/>
        <v/>
      </c>
      <c r="AA74" s="2"/>
      <c r="AB74" t="str">
        <f t="shared" si="7"/>
        <v>Local</v>
      </c>
      <c r="AC74" s="2"/>
      <c r="AD74" s="2"/>
      <c r="AE74" s="2"/>
      <c r="AF74" s="2"/>
      <c r="AG74" s="2"/>
      <c r="AH74" s="2"/>
      <c r="AI74" s="2" t="s">
        <v>756</v>
      </c>
      <c r="AJ74" s="2" t="s">
        <v>757</v>
      </c>
      <c r="AK74" t="s">
        <v>758</v>
      </c>
      <c r="AL74" s="2" t="s">
        <v>23</v>
      </c>
      <c r="AM74" s="2" t="s">
        <v>24</v>
      </c>
      <c r="AN74" s="2" t="s">
        <v>41</v>
      </c>
      <c r="AO74" s="2" t="s">
        <v>25</v>
      </c>
      <c r="AP74" s="2" t="s">
        <v>759</v>
      </c>
    </row>
    <row r="75" spans="1:42" ht="150" x14ac:dyDescent="0.25">
      <c r="A75" s="2" t="s">
        <v>813</v>
      </c>
      <c r="B75" s="2" t="s">
        <v>814</v>
      </c>
      <c r="C75" s="2">
        <v>2014</v>
      </c>
      <c r="D75" s="2" t="s">
        <v>45</v>
      </c>
      <c r="E75" s="2" t="s">
        <v>683</v>
      </c>
      <c r="F75" s="2"/>
      <c r="G75" s="2"/>
      <c r="H75" s="2">
        <v>88</v>
      </c>
      <c r="I75" s="2">
        <v>96</v>
      </c>
      <c r="J75" s="2">
        <v>8</v>
      </c>
      <c r="K75" s="2">
        <v>11</v>
      </c>
      <c r="L75" s="2" t="s">
        <v>815</v>
      </c>
      <c r="M75" s="2" t="s">
        <v>816</v>
      </c>
      <c r="N75" s="4" t="s">
        <v>1651</v>
      </c>
      <c r="O75" s="2"/>
      <c r="P75" s="2"/>
      <c r="Q75" s="2"/>
      <c r="R75" s="2"/>
      <c r="S75" t="str">
        <f>INT(C75/10)*10 &amp; "s"</f>
        <v>2010s</v>
      </c>
      <c r="U75" t="s">
        <v>1618</v>
      </c>
      <c r="V75" t="s">
        <v>1613</v>
      </c>
      <c r="W75" t="s">
        <v>1685</v>
      </c>
      <c r="Z75" t="str">
        <f t="shared" si="4"/>
        <v/>
      </c>
      <c r="AA75" s="2"/>
      <c r="AB75" t="str">
        <f t="shared" si="7"/>
        <v>Local</v>
      </c>
      <c r="AC75" s="2"/>
      <c r="AD75" s="2"/>
      <c r="AE75" s="2"/>
      <c r="AF75" s="2"/>
      <c r="AG75" s="2"/>
      <c r="AH75" s="2"/>
      <c r="AI75" s="2" t="s">
        <v>818</v>
      </c>
      <c r="AJ75" s="2" t="s">
        <v>819</v>
      </c>
      <c r="AK75" t="s">
        <v>1696</v>
      </c>
      <c r="AL75" s="2" t="s">
        <v>23</v>
      </c>
      <c r="AM75" s="2" t="s">
        <v>24</v>
      </c>
      <c r="AN75" s="2"/>
      <c r="AO75" s="2" t="s">
        <v>25</v>
      </c>
      <c r="AP75" s="2" t="s">
        <v>821</v>
      </c>
    </row>
    <row r="76" spans="1:42" ht="180" x14ac:dyDescent="0.25">
      <c r="A76" s="2" t="s">
        <v>839</v>
      </c>
      <c r="B76" s="2" t="s">
        <v>840</v>
      </c>
      <c r="C76" s="2">
        <v>2014</v>
      </c>
      <c r="D76" s="2" t="s">
        <v>841</v>
      </c>
      <c r="E76" s="2"/>
      <c r="F76" s="2"/>
      <c r="G76" s="2"/>
      <c r="H76" s="2"/>
      <c r="I76" s="2"/>
      <c r="J76" s="2"/>
      <c r="K76" s="2">
        <v>1</v>
      </c>
      <c r="L76" s="2"/>
      <c r="M76" s="12" t="s">
        <v>842</v>
      </c>
      <c r="N76" s="29" t="s">
        <v>843</v>
      </c>
      <c r="O76" s="2"/>
      <c r="P76" s="2"/>
      <c r="Q76" s="2"/>
      <c r="R76" s="2"/>
      <c r="S76" t="str">
        <f>INT(C76/10)*10 &amp; "s"</f>
        <v>2010s</v>
      </c>
      <c r="U76" t="s">
        <v>1601</v>
      </c>
      <c r="V76" t="s">
        <v>1619</v>
      </c>
      <c r="W76" t="s">
        <v>1359</v>
      </c>
      <c r="Z76" t="str">
        <f t="shared" si="4"/>
        <v/>
      </c>
      <c r="AA76" s="2"/>
      <c r="AB76" t="str">
        <f t="shared" si="7"/>
        <v>Local</v>
      </c>
      <c r="AC76" s="2"/>
      <c r="AD76" s="2"/>
      <c r="AE76" s="2"/>
      <c r="AF76" s="2"/>
      <c r="AG76" s="2"/>
      <c r="AH76" s="2"/>
      <c r="AI76" s="2" t="s">
        <v>844</v>
      </c>
      <c r="AJ76" s="2" t="s">
        <v>845</v>
      </c>
      <c r="AK76" t="s">
        <v>1652</v>
      </c>
      <c r="AL76" s="2" t="s">
        <v>29</v>
      </c>
      <c r="AM76" s="2" t="s">
        <v>24</v>
      </c>
      <c r="AN76" s="2"/>
      <c r="AO76" s="2" t="s">
        <v>25</v>
      </c>
      <c r="AP76" s="2" t="s">
        <v>847</v>
      </c>
    </row>
    <row r="77" spans="1:42" ht="165" x14ac:dyDescent="0.25">
      <c r="A77" s="2" t="s">
        <v>650</v>
      </c>
      <c r="B77" s="2" t="s">
        <v>651</v>
      </c>
      <c r="C77" s="2">
        <v>2015</v>
      </c>
      <c r="D77" s="2" t="s">
        <v>560</v>
      </c>
      <c r="E77" s="2" t="s">
        <v>652</v>
      </c>
      <c r="F77" s="2"/>
      <c r="G77" s="2"/>
      <c r="H77" s="2">
        <v>1419</v>
      </c>
      <c r="I77" s="2">
        <v>1424</v>
      </c>
      <c r="J77" s="2">
        <v>5</v>
      </c>
      <c r="K77" s="2">
        <v>9</v>
      </c>
      <c r="L77" s="2" t="s">
        <v>653</v>
      </c>
      <c r="M77" s="2" t="s">
        <v>654</v>
      </c>
      <c r="N77" s="4" t="s">
        <v>1653</v>
      </c>
      <c r="O77" s="2"/>
      <c r="P77" s="2"/>
      <c r="Q77" s="2" t="s">
        <v>1645</v>
      </c>
      <c r="R77" s="2"/>
      <c r="S77" t="str">
        <f>INT(C77/10)*10 &amp; "s"</f>
        <v>2010s</v>
      </c>
      <c r="U77" t="str">
        <f>IF(AA77&lt;&gt;"","Simulation","Experiment")</f>
        <v>Simulation</v>
      </c>
      <c r="V77" t="s">
        <v>1619</v>
      </c>
      <c r="W77" t="s">
        <v>1359</v>
      </c>
      <c r="Z77" t="str">
        <f t="shared" si="4"/>
        <v/>
      </c>
      <c r="AA77" t="s">
        <v>1507</v>
      </c>
      <c r="AB77" t="str">
        <f t="shared" si="7"/>
        <v>Local</v>
      </c>
      <c r="AC77" s="2" t="s">
        <v>1502</v>
      </c>
      <c r="AD77" s="2" t="s">
        <v>1517</v>
      </c>
      <c r="AE77" s="2" t="s">
        <v>1513</v>
      </c>
      <c r="AF77" s="2"/>
      <c r="AG77" s="2" t="s">
        <v>1508</v>
      </c>
      <c r="AH77" s="2" t="s">
        <v>1551</v>
      </c>
      <c r="AI77" s="2" t="s">
        <v>656</v>
      </c>
      <c r="AJ77" s="2" t="s">
        <v>657</v>
      </c>
      <c r="AK77" t="s">
        <v>658</v>
      </c>
      <c r="AL77" s="2" t="s">
        <v>29</v>
      </c>
      <c r="AM77" s="2" t="s">
        <v>24</v>
      </c>
      <c r="AN77" s="2" t="s">
        <v>30</v>
      </c>
      <c r="AO77" s="2" t="s">
        <v>25</v>
      </c>
      <c r="AP77" s="2" t="s">
        <v>659</v>
      </c>
    </row>
    <row r="78" spans="1:42" ht="150" x14ac:dyDescent="0.25">
      <c r="A78" s="2" t="s">
        <v>831</v>
      </c>
      <c r="B78" s="2" t="s">
        <v>832</v>
      </c>
      <c r="C78" s="2">
        <v>2015</v>
      </c>
      <c r="D78" s="2" t="s">
        <v>833</v>
      </c>
      <c r="E78" s="2"/>
      <c r="F78" s="2"/>
      <c r="G78" s="2"/>
      <c r="H78" s="2">
        <v>40</v>
      </c>
      <c r="I78" s="2">
        <v>50</v>
      </c>
      <c r="J78" s="2">
        <v>10</v>
      </c>
      <c r="K78" s="2">
        <v>2</v>
      </c>
      <c r="L78" s="2" t="s">
        <v>834</v>
      </c>
      <c r="M78" s="12" t="s">
        <v>835</v>
      </c>
      <c r="N78" s="29" t="s">
        <v>1654</v>
      </c>
      <c r="O78" s="2"/>
      <c r="P78" s="2"/>
      <c r="Q78" s="2" t="s">
        <v>1645</v>
      </c>
      <c r="R78" s="2"/>
      <c r="S78" t="str">
        <f>INT(C78/10)*10 &amp; "s"</f>
        <v>2010s</v>
      </c>
      <c r="U78" t="str">
        <f>IF(AA78&lt;&gt;"","Simulation","Experiment")</f>
        <v>Experiment</v>
      </c>
      <c r="Z78" t="str">
        <f t="shared" si="4"/>
        <v/>
      </c>
      <c r="AA78" s="2"/>
      <c r="AB78" t="str">
        <f t="shared" si="7"/>
        <v>Local</v>
      </c>
      <c r="AC78" s="2"/>
      <c r="AD78" s="2"/>
      <c r="AE78" s="2"/>
      <c r="AF78" s="2"/>
      <c r="AG78" s="2"/>
      <c r="AH78" s="2"/>
      <c r="AI78" s="2"/>
      <c r="AJ78" s="2" t="s">
        <v>1655</v>
      </c>
      <c r="AL78" s="2" t="s">
        <v>29</v>
      </c>
      <c r="AM78" s="2" t="s">
        <v>24</v>
      </c>
      <c r="AN78" s="2"/>
      <c r="AO78" s="2" t="s">
        <v>25</v>
      </c>
      <c r="AP78" s="2" t="s">
        <v>838</v>
      </c>
    </row>
    <row r="79" spans="1:42" ht="180" x14ac:dyDescent="0.25">
      <c r="A79" s="2" t="s">
        <v>876</v>
      </c>
      <c r="B79" s="2" t="s">
        <v>877</v>
      </c>
      <c r="C79" s="2">
        <v>2015</v>
      </c>
      <c r="D79" s="2" t="s">
        <v>70</v>
      </c>
      <c r="E79" s="2" t="s">
        <v>111</v>
      </c>
      <c r="F79" s="2" t="s">
        <v>83</v>
      </c>
      <c r="G79" s="2"/>
      <c r="H79" s="2">
        <v>71</v>
      </c>
      <c r="I79" s="2">
        <v>80</v>
      </c>
      <c r="J79" s="2">
        <v>9</v>
      </c>
      <c r="K79" s="2">
        <v>0</v>
      </c>
      <c r="L79" s="2" t="s">
        <v>878</v>
      </c>
      <c r="M79" s="2" t="s">
        <v>879</v>
      </c>
      <c r="N79" s="10" t="s">
        <v>1656</v>
      </c>
      <c r="O79" s="2"/>
      <c r="P79" s="2"/>
      <c r="Q79" s="2" t="s">
        <v>1461</v>
      </c>
      <c r="R79" s="2"/>
      <c r="S79" t="str">
        <f>INT(C79/10)*10 &amp; "s"</f>
        <v>2010s</v>
      </c>
      <c r="U79" t="s">
        <v>1618</v>
      </c>
      <c r="V79" t="s">
        <v>1614</v>
      </c>
      <c r="W79" t="s">
        <v>1685</v>
      </c>
      <c r="Z79" t="str">
        <f t="shared" si="4"/>
        <v/>
      </c>
      <c r="AA79" s="2"/>
      <c r="AB79" t="str">
        <f t="shared" si="7"/>
        <v>Local</v>
      </c>
      <c r="AC79" s="2"/>
      <c r="AD79" s="2"/>
      <c r="AE79" s="2"/>
      <c r="AF79" s="2"/>
      <c r="AG79" s="2"/>
      <c r="AH79" s="2"/>
      <c r="AI79" s="2" t="s">
        <v>881</v>
      </c>
      <c r="AJ79" s="2"/>
      <c r="AK79" t="s">
        <v>882</v>
      </c>
      <c r="AL79" s="2" t="s">
        <v>23</v>
      </c>
      <c r="AM79" s="2" t="s">
        <v>24</v>
      </c>
      <c r="AN79" s="2"/>
      <c r="AO79" s="2" t="s">
        <v>25</v>
      </c>
      <c r="AP79" s="2" t="s">
        <v>883</v>
      </c>
    </row>
    <row r="80" spans="1:42" ht="135" x14ac:dyDescent="0.25">
      <c r="A80" s="2" t="s">
        <v>959</v>
      </c>
      <c r="B80" s="2" t="s">
        <v>960</v>
      </c>
      <c r="C80" s="2">
        <v>2015</v>
      </c>
      <c r="D80" s="2" t="s">
        <v>324</v>
      </c>
      <c r="E80" s="2" t="s">
        <v>111</v>
      </c>
      <c r="F80" s="2" t="s">
        <v>230</v>
      </c>
      <c r="G80" s="2"/>
      <c r="H80" s="2">
        <v>517</v>
      </c>
      <c r="I80" s="2">
        <v>530</v>
      </c>
      <c r="J80" s="2">
        <v>13</v>
      </c>
      <c r="K80" s="2">
        <v>3</v>
      </c>
      <c r="L80" s="2" t="s">
        <v>961</v>
      </c>
      <c r="M80" s="12" t="s">
        <v>962</v>
      </c>
      <c r="N80" s="14" t="s">
        <v>963</v>
      </c>
      <c r="O80" s="2"/>
      <c r="P80" s="2"/>
      <c r="Q80" s="2" t="s">
        <v>1645</v>
      </c>
      <c r="R80" s="2"/>
      <c r="S80" t="str">
        <f>INT(C80/10)*10 &amp; "s"</f>
        <v>2010s</v>
      </c>
      <c r="U80" t="s">
        <v>1618</v>
      </c>
      <c r="V80" t="s">
        <v>1613</v>
      </c>
      <c r="W80" t="s">
        <v>1359</v>
      </c>
      <c r="Z80" t="str">
        <f t="shared" si="4"/>
        <v/>
      </c>
      <c r="AA80" s="2"/>
      <c r="AB80" t="str">
        <f t="shared" si="7"/>
        <v>Local</v>
      </c>
      <c r="AC80" s="2"/>
      <c r="AD80" s="2"/>
      <c r="AE80" s="2"/>
      <c r="AF80" s="2"/>
      <c r="AG80" s="2"/>
      <c r="AH80" s="2"/>
      <c r="AI80" s="2" t="s">
        <v>964</v>
      </c>
      <c r="AJ80" s="2" t="s">
        <v>965</v>
      </c>
      <c r="AK80" t="s">
        <v>966</v>
      </c>
      <c r="AL80" s="2" t="s">
        <v>23</v>
      </c>
      <c r="AM80" s="2" t="s">
        <v>24</v>
      </c>
      <c r="AN80" s="2"/>
      <c r="AO80" s="2" t="s">
        <v>25</v>
      </c>
      <c r="AP80" s="2" t="s">
        <v>967</v>
      </c>
    </row>
    <row r="81" spans="1:42" ht="135" hidden="1" x14ac:dyDescent="0.25">
      <c r="A81" s="22" t="s">
        <v>660</v>
      </c>
      <c r="B81" s="22" t="s">
        <v>661</v>
      </c>
      <c r="C81" s="22">
        <v>2015</v>
      </c>
      <c r="D81" s="22" t="s">
        <v>196</v>
      </c>
      <c r="E81" s="22" t="s">
        <v>662</v>
      </c>
      <c r="F81" s="22" t="s">
        <v>663</v>
      </c>
      <c r="G81" s="22"/>
      <c r="H81" s="22">
        <v>1053</v>
      </c>
      <c r="I81" s="22">
        <v>1062</v>
      </c>
      <c r="J81" s="22">
        <v>9</v>
      </c>
      <c r="K81" s="22">
        <v>0</v>
      </c>
      <c r="L81" s="22" t="s">
        <v>664</v>
      </c>
      <c r="M81" s="22" t="s">
        <v>665</v>
      </c>
      <c r="N81" s="4" t="s">
        <v>666</v>
      </c>
      <c r="P81" t="s">
        <v>1371</v>
      </c>
      <c r="Z81" t="str">
        <f t="shared" si="4"/>
        <v/>
      </c>
      <c r="AI81" t="s">
        <v>667</v>
      </c>
      <c r="AJ81" t="s">
        <v>668</v>
      </c>
      <c r="AK81" t="s">
        <v>669</v>
      </c>
      <c r="AL81" t="s">
        <v>23</v>
      </c>
      <c r="AM81" t="s">
        <v>24</v>
      </c>
      <c r="AN81" t="s">
        <v>198</v>
      </c>
      <c r="AO81" t="s">
        <v>25</v>
      </c>
      <c r="AP81" t="s">
        <v>670</v>
      </c>
    </row>
    <row r="82" spans="1:42" ht="135" hidden="1" x14ac:dyDescent="0.25">
      <c r="A82" s="7" t="s">
        <v>919</v>
      </c>
      <c r="B82" s="7" t="s">
        <v>920</v>
      </c>
      <c r="C82" s="7">
        <v>2015</v>
      </c>
      <c r="D82" s="7" t="s">
        <v>388</v>
      </c>
      <c r="E82" s="7" t="s">
        <v>921</v>
      </c>
      <c r="F82" s="7"/>
      <c r="G82" s="7"/>
      <c r="H82" s="7">
        <v>223</v>
      </c>
      <c r="I82" s="7">
        <v>253</v>
      </c>
      <c r="J82" s="7">
        <v>30</v>
      </c>
      <c r="K82" s="7">
        <v>0</v>
      </c>
      <c r="L82" s="7" t="s">
        <v>922</v>
      </c>
      <c r="M82" s="7" t="s">
        <v>923</v>
      </c>
      <c r="N82" s="4" t="s">
        <v>924</v>
      </c>
      <c r="O82" s="2"/>
      <c r="P82" s="2" t="s">
        <v>1371</v>
      </c>
      <c r="Q82" s="2"/>
      <c r="R82" s="2"/>
      <c r="S82" s="2"/>
      <c r="T82" s="2"/>
      <c r="U82" s="2"/>
      <c r="V82" s="2"/>
      <c r="W82" s="2"/>
      <c r="X82" s="2"/>
      <c r="Y82" s="2"/>
      <c r="Z82" t="str">
        <f t="shared" si="4"/>
        <v/>
      </c>
      <c r="AA82" s="2"/>
      <c r="AB82" s="2"/>
      <c r="AC82" s="2"/>
      <c r="AD82" s="2"/>
      <c r="AE82" s="2"/>
      <c r="AF82" s="2"/>
      <c r="AG82" s="2"/>
      <c r="AH82" s="2"/>
      <c r="AI82" s="2" t="s">
        <v>925</v>
      </c>
      <c r="AJ82" s="2" t="s">
        <v>926</v>
      </c>
      <c r="AK82" t="s">
        <v>927</v>
      </c>
      <c r="AL82" s="2" t="s">
        <v>29</v>
      </c>
      <c r="AM82" s="2" t="s">
        <v>24</v>
      </c>
      <c r="AN82" s="2"/>
      <c r="AO82" s="2" t="s">
        <v>25</v>
      </c>
      <c r="AP82" s="2" t="s">
        <v>928</v>
      </c>
    </row>
    <row r="83" spans="1:42" ht="135" x14ac:dyDescent="0.25">
      <c r="A83" s="2" t="s">
        <v>1056</v>
      </c>
      <c r="B83" s="2" t="s">
        <v>1057</v>
      </c>
      <c r="C83" s="2">
        <v>2015</v>
      </c>
      <c r="D83" s="2" t="s">
        <v>560</v>
      </c>
      <c r="E83" s="2" t="s">
        <v>652</v>
      </c>
      <c r="F83" s="2"/>
      <c r="G83" s="2"/>
      <c r="H83" s="2">
        <v>2748</v>
      </c>
      <c r="I83" s="2">
        <v>2753</v>
      </c>
      <c r="J83" s="2">
        <v>5</v>
      </c>
      <c r="K83" s="2">
        <v>3</v>
      </c>
      <c r="L83" s="2" t="s">
        <v>1058</v>
      </c>
      <c r="M83" s="12" t="s">
        <v>1059</v>
      </c>
      <c r="N83" s="14" t="s">
        <v>1060</v>
      </c>
      <c r="O83" s="2"/>
      <c r="P83" s="2"/>
      <c r="Q83" s="2"/>
      <c r="R83" s="2"/>
      <c r="S83" t="str">
        <f>INT(C83/10)*10 &amp; "s"</f>
        <v>2010s</v>
      </c>
      <c r="U83" t="str">
        <f>IF(AA83&lt;&gt;"","Simulation","Experiment")</f>
        <v>Experiment</v>
      </c>
      <c r="Z83" t="str">
        <f t="shared" ref="Z83:Z114" si="8">IF(U83=3,"Simulation und Experiment",
IF(U83=4,"Review",
IF(U83=5,"Nur Literaturwerte",
IF(U83=6,"Analytical",""))))</f>
        <v/>
      </c>
      <c r="AA83" s="2"/>
      <c r="AB83" t="str">
        <f>IF(AA83="1D","Bulk",
IF(AA83="x","","Local"))</f>
        <v>Local</v>
      </c>
      <c r="AC83" s="2"/>
      <c r="AD83" s="2"/>
      <c r="AE83" s="2"/>
      <c r="AF83" s="2"/>
      <c r="AG83" s="2"/>
      <c r="AH83" s="2"/>
      <c r="AI83" s="2" t="s">
        <v>1061</v>
      </c>
      <c r="AJ83" s="2" t="s">
        <v>1062</v>
      </c>
      <c r="AK83" t="s">
        <v>1063</v>
      </c>
      <c r="AL83" s="2" t="s">
        <v>29</v>
      </c>
      <c r="AM83" s="2" t="s">
        <v>24</v>
      </c>
      <c r="AN83" s="2" t="s">
        <v>64</v>
      </c>
      <c r="AO83" s="2" t="s">
        <v>25</v>
      </c>
      <c r="AP83" s="2" t="s">
        <v>1064</v>
      </c>
    </row>
    <row r="84" spans="1:42" ht="150" hidden="1" x14ac:dyDescent="0.25">
      <c r="A84" s="7" t="s">
        <v>983</v>
      </c>
      <c r="B84" s="7" t="s">
        <v>984</v>
      </c>
      <c r="C84" s="7">
        <v>2015</v>
      </c>
      <c r="D84" s="7" t="s">
        <v>175</v>
      </c>
      <c r="E84" s="7" t="s">
        <v>197</v>
      </c>
      <c r="F84" s="7"/>
      <c r="G84" s="7"/>
      <c r="H84" s="7">
        <v>185</v>
      </c>
      <c r="I84" s="7">
        <v>198</v>
      </c>
      <c r="J84" s="7">
        <v>13</v>
      </c>
      <c r="K84" s="7">
        <v>7</v>
      </c>
      <c r="L84" s="7" t="s">
        <v>985</v>
      </c>
      <c r="M84" s="24" t="s">
        <v>986</v>
      </c>
      <c r="N84" s="25" t="s">
        <v>987</v>
      </c>
      <c r="O84" s="2"/>
      <c r="P84" s="2" t="s">
        <v>1371</v>
      </c>
      <c r="Q84" s="2"/>
      <c r="R84" s="2"/>
      <c r="S84" s="2"/>
      <c r="T84" s="2"/>
      <c r="U84" s="2"/>
      <c r="V84" s="2"/>
      <c r="W84" s="2"/>
      <c r="X84" s="2"/>
      <c r="Y84" s="2"/>
      <c r="Z84" t="str">
        <f t="shared" si="8"/>
        <v/>
      </c>
      <c r="AA84" s="2"/>
      <c r="AB84" s="2"/>
      <c r="AC84" s="2"/>
      <c r="AD84" s="2"/>
      <c r="AE84" s="2"/>
      <c r="AF84" s="2"/>
      <c r="AG84" s="2"/>
      <c r="AH84" s="2"/>
      <c r="AI84" s="2" t="s">
        <v>988</v>
      </c>
      <c r="AJ84" s="2" t="s">
        <v>989</v>
      </c>
      <c r="AK84" t="s">
        <v>990</v>
      </c>
      <c r="AL84" s="2" t="s">
        <v>23</v>
      </c>
      <c r="AM84" s="2" t="s">
        <v>24</v>
      </c>
      <c r="AN84" s="2"/>
      <c r="AO84" s="2" t="s">
        <v>25</v>
      </c>
      <c r="AP84" s="2" t="s">
        <v>991</v>
      </c>
    </row>
    <row r="85" spans="1:42" ht="165" x14ac:dyDescent="0.25">
      <c r="A85" s="2" t="s">
        <v>1075</v>
      </c>
      <c r="B85" s="2" t="s">
        <v>1076</v>
      </c>
      <c r="C85" s="2">
        <v>2015</v>
      </c>
      <c r="D85" s="2" t="s">
        <v>941</v>
      </c>
      <c r="E85" s="2" t="s">
        <v>251</v>
      </c>
      <c r="F85" s="2" t="s">
        <v>80</v>
      </c>
      <c r="G85" s="2"/>
      <c r="H85" s="2">
        <v>191</v>
      </c>
      <c r="I85" s="2">
        <v>204</v>
      </c>
      <c r="J85" s="2">
        <v>13</v>
      </c>
      <c r="K85" s="2">
        <v>8</v>
      </c>
      <c r="L85" s="2" t="s">
        <v>1077</v>
      </c>
      <c r="M85" s="12" t="s">
        <v>1078</v>
      </c>
      <c r="N85" s="14" t="s">
        <v>1079</v>
      </c>
      <c r="O85" s="2"/>
      <c r="P85" s="2"/>
      <c r="Q85" s="2"/>
      <c r="R85" s="2"/>
      <c r="S85" t="str">
        <f>INT(C85/10)*10 &amp; "s"</f>
        <v>2010s</v>
      </c>
      <c r="U85" t="str">
        <f>IF(AA85&lt;&gt;"","Simulation","Experiment")</f>
        <v>Simulation</v>
      </c>
      <c r="V85" t="s">
        <v>1619</v>
      </c>
      <c r="W85" t="s">
        <v>1359</v>
      </c>
      <c r="Z85" t="str">
        <f t="shared" si="8"/>
        <v/>
      </c>
      <c r="AA85" t="s">
        <v>1507</v>
      </c>
      <c r="AB85" t="str">
        <f>IF(AA85="1D","Bulk",
IF(AA85="x","","Local"))</f>
        <v>Local</v>
      </c>
      <c r="AC85" s="2" t="s">
        <v>1502</v>
      </c>
      <c r="AD85" s="2" t="s">
        <v>1512</v>
      </c>
      <c r="AE85" s="2" t="s">
        <v>1513</v>
      </c>
      <c r="AF85" s="2"/>
      <c r="AG85" s="2" t="s">
        <v>1508</v>
      </c>
      <c r="AH85" s="2" t="s">
        <v>1550</v>
      </c>
      <c r="AI85" s="2" t="s">
        <v>1080</v>
      </c>
      <c r="AJ85" s="2" t="s">
        <v>1081</v>
      </c>
      <c r="AK85" t="s">
        <v>1082</v>
      </c>
      <c r="AL85" s="2" t="s">
        <v>23</v>
      </c>
      <c r="AM85" s="2" t="s">
        <v>24</v>
      </c>
      <c r="AN85" s="2" t="s">
        <v>41</v>
      </c>
      <c r="AO85" s="2" t="s">
        <v>25</v>
      </c>
      <c r="AP85" s="2" t="s">
        <v>1083</v>
      </c>
    </row>
    <row r="86" spans="1:42" ht="180" hidden="1" x14ac:dyDescent="0.25">
      <c r="A86" s="2" t="s">
        <v>1065</v>
      </c>
      <c r="B86" s="2" t="s">
        <v>1066</v>
      </c>
      <c r="C86" s="2">
        <v>2015</v>
      </c>
      <c r="D86" s="2" t="s">
        <v>1067</v>
      </c>
      <c r="E86" s="2" t="s">
        <v>443</v>
      </c>
      <c r="F86" s="2"/>
      <c r="G86" s="2"/>
      <c r="H86" s="2">
        <v>102</v>
      </c>
      <c r="I86" s="2">
        <v>116</v>
      </c>
      <c r="J86" s="2">
        <v>14</v>
      </c>
      <c r="K86" s="2">
        <v>75</v>
      </c>
      <c r="L86" s="2" t="s">
        <v>1068</v>
      </c>
      <c r="M86" s="2" t="s">
        <v>1069</v>
      </c>
      <c r="N86" s="7" t="s">
        <v>1070</v>
      </c>
      <c r="O86" s="2"/>
      <c r="P86" s="2" t="s">
        <v>1371</v>
      </c>
      <c r="Q86" s="2"/>
      <c r="R86" s="2"/>
      <c r="S86" s="2"/>
      <c r="T86" s="2"/>
      <c r="U86" s="2"/>
      <c r="V86" s="2"/>
      <c r="W86" s="2"/>
      <c r="X86" s="2"/>
      <c r="Y86" s="2"/>
      <c r="Z86" t="str">
        <f t="shared" si="8"/>
        <v/>
      </c>
      <c r="AA86" s="2"/>
      <c r="AB86" s="2"/>
      <c r="AC86" s="2"/>
      <c r="AD86" s="2"/>
      <c r="AE86" s="2"/>
      <c r="AF86" s="2"/>
      <c r="AG86" s="2"/>
      <c r="AH86" s="2"/>
      <c r="AI86" s="2" t="s">
        <v>1071</v>
      </c>
      <c r="AJ86" s="2" t="s">
        <v>1072</v>
      </c>
      <c r="AK86" t="s">
        <v>1073</v>
      </c>
      <c r="AL86" s="2" t="s">
        <v>23</v>
      </c>
      <c r="AM86" s="2" t="s">
        <v>24</v>
      </c>
      <c r="AN86" s="2" t="s">
        <v>41</v>
      </c>
      <c r="AO86" s="2" t="s">
        <v>25</v>
      </c>
      <c r="AP86" s="2" t="s">
        <v>1074</v>
      </c>
    </row>
    <row r="87" spans="1:42" ht="195" x14ac:dyDescent="0.25">
      <c r="A87" s="2" t="s">
        <v>1084</v>
      </c>
      <c r="B87" s="2" t="s">
        <v>1085</v>
      </c>
      <c r="C87" s="2">
        <v>2015</v>
      </c>
      <c r="D87" s="2" t="s">
        <v>45</v>
      </c>
      <c r="E87" s="2" t="s">
        <v>1086</v>
      </c>
      <c r="F87" s="2"/>
      <c r="G87" s="2"/>
      <c r="H87" s="2">
        <v>457</v>
      </c>
      <c r="I87" s="2">
        <v>466</v>
      </c>
      <c r="J87" s="2">
        <v>9</v>
      </c>
      <c r="K87" s="2">
        <v>19</v>
      </c>
      <c r="L87" s="2" t="s">
        <v>1087</v>
      </c>
      <c r="M87" s="12" t="s">
        <v>1088</v>
      </c>
      <c r="N87" s="14" t="s">
        <v>1089</v>
      </c>
      <c r="O87" s="2"/>
      <c r="P87" s="2"/>
      <c r="Q87" s="2"/>
      <c r="R87" s="2"/>
      <c r="S87" t="str">
        <f>INT(C87/10)*10 &amp; "s"</f>
        <v>2010s</v>
      </c>
      <c r="U87" t="s">
        <v>1618</v>
      </c>
      <c r="V87" t="s">
        <v>1613</v>
      </c>
      <c r="W87" t="s">
        <v>1685</v>
      </c>
      <c r="Z87" t="str">
        <f t="shared" si="8"/>
        <v/>
      </c>
      <c r="AA87" t="s">
        <v>1507</v>
      </c>
      <c r="AB87" t="str">
        <f t="shared" ref="AB87:AB101" si="9">IF(AA87="1D","Bulk",
IF(AA87="x","","Local"))</f>
        <v>Local</v>
      </c>
      <c r="AC87" s="2" t="s">
        <v>1523</v>
      </c>
      <c r="AD87" s="2" t="s">
        <v>1530</v>
      </c>
      <c r="AE87" s="2" t="s">
        <v>1547</v>
      </c>
      <c r="AF87" s="2"/>
      <c r="AG87" s="2" t="s">
        <v>1548</v>
      </c>
      <c r="AH87" s="2" t="s">
        <v>1549</v>
      </c>
      <c r="AI87" s="2" t="s">
        <v>1090</v>
      </c>
      <c r="AJ87" s="2" t="s">
        <v>1091</v>
      </c>
      <c r="AK87" t="s">
        <v>1657</v>
      </c>
      <c r="AL87" s="2" t="s">
        <v>23</v>
      </c>
      <c r="AM87" s="2" t="s">
        <v>24</v>
      </c>
      <c r="AN87" s="2"/>
      <c r="AO87" s="2" t="s">
        <v>25</v>
      </c>
      <c r="AP87" s="2" t="s">
        <v>1093</v>
      </c>
    </row>
    <row r="88" spans="1:42" ht="150" x14ac:dyDescent="0.25">
      <c r="A88" s="2" t="s">
        <v>596</v>
      </c>
      <c r="B88" s="2" t="s">
        <v>597</v>
      </c>
      <c r="C88" s="2">
        <v>2016</v>
      </c>
      <c r="D88" s="2" t="s">
        <v>128</v>
      </c>
      <c r="E88" s="2" t="s">
        <v>598</v>
      </c>
      <c r="F88" s="2"/>
      <c r="G88" s="2"/>
      <c r="H88" s="2">
        <v>459</v>
      </c>
      <c r="I88" s="2">
        <v>484</v>
      </c>
      <c r="J88" s="2">
        <v>25</v>
      </c>
      <c r="K88" s="2">
        <v>6</v>
      </c>
      <c r="L88" s="2"/>
      <c r="M88" s="12" t="s">
        <v>599</v>
      </c>
      <c r="N88" s="14" t="s">
        <v>1658</v>
      </c>
      <c r="O88" s="2"/>
      <c r="P88" s="2"/>
      <c r="Q88" s="2" t="s">
        <v>1456</v>
      </c>
      <c r="R88" s="2"/>
      <c r="S88" t="str">
        <f>INT(C88/10)*10 &amp; "s"</f>
        <v>2010s</v>
      </c>
      <c r="U88" t="str">
        <f>IF(AA88&lt;&gt;"","Simulation","Experiment")</f>
        <v>Experiment</v>
      </c>
      <c r="Z88" t="str">
        <f t="shared" si="8"/>
        <v/>
      </c>
      <c r="AA88" s="2"/>
      <c r="AB88" t="str">
        <f t="shared" si="9"/>
        <v>Local</v>
      </c>
      <c r="AC88" s="2"/>
      <c r="AD88" s="2"/>
      <c r="AE88" s="2"/>
      <c r="AF88" s="2"/>
      <c r="AG88" s="2"/>
      <c r="AH88" s="2"/>
      <c r="AI88" s="2"/>
      <c r="AJ88" s="2" t="s">
        <v>601</v>
      </c>
      <c r="AK88" t="s">
        <v>602</v>
      </c>
      <c r="AL88" s="2" t="s">
        <v>29</v>
      </c>
      <c r="AM88" s="2" t="s">
        <v>24</v>
      </c>
      <c r="AN88" s="2"/>
      <c r="AO88" s="2" t="s">
        <v>25</v>
      </c>
      <c r="AP88" s="2" t="s">
        <v>603</v>
      </c>
    </row>
    <row r="89" spans="1:42" ht="165" x14ac:dyDescent="0.25">
      <c r="A89" s="2" t="s">
        <v>643</v>
      </c>
      <c r="B89" s="2" t="s">
        <v>644</v>
      </c>
      <c r="C89" s="2">
        <v>2016</v>
      </c>
      <c r="D89" s="2" t="s">
        <v>128</v>
      </c>
      <c r="E89" s="2" t="s">
        <v>598</v>
      </c>
      <c r="F89" s="2"/>
      <c r="G89" s="2"/>
      <c r="H89" s="2">
        <v>246</v>
      </c>
      <c r="I89" s="2">
        <v>264</v>
      </c>
      <c r="J89" s="2">
        <v>18</v>
      </c>
      <c r="K89" s="2">
        <v>6</v>
      </c>
      <c r="L89" s="2"/>
      <c r="M89" s="2" t="s">
        <v>645</v>
      </c>
      <c r="N89" s="4" t="s">
        <v>646</v>
      </c>
      <c r="O89" s="2" t="s">
        <v>1415</v>
      </c>
      <c r="P89" s="2"/>
      <c r="Q89" s="2" t="s">
        <v>1456</v>
      </c>
      <c r="R89" s="2"/>
      <c r="S89" t="str">
        <f>INT(C89/10)*10 &amp; "s"</f>
        <v>2010s</v>
      </c>
      <c r="U89" t="s">
        <v>1618</v>
      </c>
      <c r="V89" t="s">
        <v>1613</v>
      </c>
      <c r="W89" t="s">
        <v>1359</v>
      </c>
      <c r="Z89" t="str">
        <f t="shared" si="8"/>
        <v/>
      </c>
      <c r="AB89" t="str">
        <f t="shared" si="9"/>
        <v>Local</v>
      </c>
      <c r="AC89" s="2" t="s">
        <v>1502</v>
      </c>
      <c r="AD89" s="2"/>
      <c r="AE89" s="2"/>
      <c r="AF89" s="2"/>
      <c r="AG89" s="2"/>
      <c r="AH89" s="2"/>
      <c r="AI89" s="2"/>
      <c r="AJ89" s="2" t="s">
        <v>647</v>
      </c>
      <c r="AK89" t="s">
        <v>648</v>
      </c>
      <c r="AL89" s="2" t="s">
        <v>29</v>
      </c>
      <c r="AM89" s="2" t="s">
        <v>24</v>
      </c>
      <c r="AN89" s="2"/>
      <c r="AO89" s="2" t="s">
        <v>25</v>
      </c>
      <c r="AP89" s="2" t="s">
        <v>649</v>
      </c>
    </row>
    <row r="90" spans="1:42" ht="210" x14ac:dyDescent="0.25">
      <c r="A90" s="2" t="s">
        <v>697</v>
      </c>
      <c r="B90" s="2" t="s">
        <v>698</v>
      </c>
      <c r="C90" s="2">
        <v>2016</v>
      </c>
      <c r="D90" s="2" t="s">
        <v>128</v>
      </c>
      <c r="E90" s="2" t="s">
        <v>598</v>
      </c>
      <c r="F90" s="2"/>
      <c r="G90" s="2"/>
      <c r="H90" s="2">
        <v>504</v>
      </c>
      <c r="I90" s="2">
        <v>514</v>
      </c>
      <c r="J90" s="2">
        <v>10</v>
      </c>
      <c r="K90" s="2">
        <v>12</v>
      </c>
      <c r="L90" s="2"/>
      <c r="M90" s="2" t="s">
        <v>699</v>
      </c>
      <c r="N90" s="4" t="s">
        <v>700</v>
      </c>
      <c r="O90" s="2" t="s">
        <v>1415</v>
      </c>
      <c r="P90" s="2"/>
      <c r="Q90" s="2" t="s">
        <v>1645</v>
      </c>
      <c r="R90" s="2"/>
      <c r="S90" t="str">
        <f>INT(C90/10)*10 &amp; "s"</f>
        <v>2010s</v>
      </c>
      <c r="U90" t="s">
        <v>1618</v>
      </c>
      <c r="V90" t="s">
        <v>1613</v>
      </c>
      <c r="W90" t="s">
        <v>1359</v>
      </c>
      <c r="X90" t="s">
        <v>1607</v>
      </c>
      <c r="Z90" t="str">
        <f t="shared" si="8"/>
        <v/>
      </c>
      <c r="AA90" s="2"/>
      <c r="AB90" t="str">
        <f t="shared" si="9"/>
        <v>Local</v>
      </c>
      <c r="AC90" s="2"/>
      <c r="AD90" s="2"/>
      <c r="AE90" s="2"/>
      <c r="AF90" s="2"/>
      <c r="AG90" s="2"/>
      <c r="AH90" s="2"/>
      <c r="AI90" s="2"/>
      <c r="AJ90" s="2" t="s">
        <v>701</v>
      </c>
      <c r="AK90" t="s">
        <v>1659</v>
      </c>
      <c r="AL90" s="2" t="s">
        <v>29</v>
      </c>
      <c r="AM90" s="2" t="s">
        <v>24</v>
      </c>
      <c r="AN90" s="2"/>
      <c r="AO90" s="2" t="s">
        <v>25</v>
      </c>
      <c r="AP90" s="2" t="s">
        <v>703</v>
      </c>
    </row>
    <row r="91" spans="1:42" ht="180" x14ac:dyDescent="0.25">
      <c r="A91" s="2" t="s">
        <v>760</v>
      </c>
      <c r="B91" s="2" t="s">
        <v>761</v>
      </c>
      <c r="C91" s="2">
        <v>2016</v>
      </c>
      <c r="D91" s="2" t="s">
        <v>128</v>
      </c>
      <c r="E91" s="2" t="s">
        <v>598</v>
      </c>
      <c r="F91" s="2"/>
      <c r="G91" s="2"/>
      <c r="H91" s="2">
        <v>485</v>
      </c>
      <c r="I91" s="2">
        <v>492</v>
      </c>
      <c r="J91" s="2">
        <v>7</v>
      </c>
      <c r="K91" s="2">
        <v>2</v>
      </c>
      <c r="L91" s="2"/>
      <c r="M91" s="12" t="s">
        <v>762</v>
      </c>
      <c r="N91" s="14" t="s">
        <v>763</v>
      </c>
      <c r="O91" s="2" t="s">
        <v>1374</v>
      </c>
      <c r="P91" s="2"/>
      <c r="Q91" s="2" t="s">
        <v>1461</v>
      </c>
      <c r="R91" s="2"/>
      <c r="S91" t="str">
        <f>INT(C91/10)*10 &amp; "s"</f>
        <v>2010s</v>
      </c>
      <c r="U91" t="s">
        <v>1618</v>
      </c>
      <c r="V91" t="s">
        <v>1613</v>
      </c>
      <c r="W91" t="s">
        <v>1685</v>
      </c>
      <c r="Y91" t="s">
        <v>1610</v>
      </c>
      <c r="Z91" t="str">
        <f t="shared" si="8"/>
        <v/>
      </c>
      <c r="AA91" t="s">
        <v>1501</v>
      </c>
      <c r="AB91" t="str">
        <f t="shared" si="9"/>
        <v>Bulk</v>
      </c>
      <c r="AC91" s="2" t="s">
        <v>1554</v>
      </c>
      <c r="AD91" s="2"/>
      <c r="AE91" s="2"/>
      <c r="AF91" s="2"/>
      <c r="AG91" s="2"/>
      <c r="AH91" s="2"/>
      <c r="AI91" s="2"/>
      <c r="AJ91" s="2" t="s">
        <v>764</v>
      </c>
      <c r="AK91" t="s">
        <v>765</v>
      </c>
      <c r="AL91" s="2" t="s">
        <v>29</v>
      </c>
      <c r="AM91" s="2" t="s">
        <v>24</v>
      </c>
      <c r="AN91" s="2"/>
      <c r="AO91" s="2" t="s">
        <v>25</v>
      </c>
      <c r="AP91" s="2" t="s">
        <v>766</v>
      </c>
    </row>
    <row r="92" spans="1:42" ht="135" x14ac:dyDescent="0.25">
      <c r="A92" s="2" t="s">
        <v>949</v>
      </c>
      <c r="B92" s="2" t="s">
        <v>950</v>
      </c>
      <c r="C92" s="2">
        <v>2016</v>
      </c>
      <c r="D92" s="2" t="s">
        <v>951</v>
      </c>
      <c r="E92" s="2" t="s">
        <v>471</v>
      </c>
      <c r="F92" s="2"/>
      <c r="G92" s="2"/>
      <c r="H92" s="2">
        <v>453</v>
      </c>
      <c r="I92" s="2">
        <v>465</v>
      </c>
      <c r="J92" s="2">
        <v>12</v>
      </c>
      <c r="K92" s="2">
        <v>39</v>
      </c>
      <c r="L92" s="2" t="s">
        <v>952</v>
      </c>
      <c r="M92" s="12" t="s">
        <v>953</v>
      </c>
      <c r="N92" s="13" t="s">
        <v>954</v>
      </c>
      <c r="O92" s="2"/>
      <c r="P92" s="2"/>
      <c r="Q92" s="2" t="s">
        <v>1463</v>
      </c>
      <c r="R92" s="2"/>
      <c r="S92" t="str">
        <f>INT(C92/10)*10 &amp; "s"</f>
        <v>2010s</v>
      </c>
      <c r="U92" t="str">
        <f>IF(AA92&lt;&gt;"","Simulation","Experiment")</f>
        <v>Simulation</v>
      </c>
      <c r="V92" t="s">
        <v>1612</v>
      </c>
      <c r="W92" t="s">
        <v>1685</v>
      </c>
      <c r="Z92" t="str">
        <f t="shared" si="8"/>
        <v/>
      </c>
      <c r="AA92" t="s">
        <v>1507</v>
      </c>
      <c r="AB92" t="str">
        <f t="shared" si="9"/>
        <v>Local</v>
      </c>
      <c r="AC92" s="2" t="s">
        <v>1502</v>
      </c>
      <c r="AD92" s="2" t="s">
        <v>1544</v>
      </c>
      <c r="AE92" s="2" t="s">
        <v>1552</v>
      </c>
      <c r="AF92" s="2" t="s">
        <v>1553</v>
      </c>
      <c r="AG92" s="2" t="s">
        <v>1508</v>
      </c>
      <c r="AH92" s="2" t="s">
        <v>1549</v>
      </c>
      <c r="AI92" s="2" t="s">
        <v>955</v>
      </c>
      <c r="AJ92" s="2" t="s">
        <v>956</v>
      </c>
      <c r="AK92" t="s">
        <v>1660</v>
      </c>
      <c r="AL92" s="2" t="s">
        <v>23</v>
      </c>
      <c r="AM92" s="2" t="s">
        <v>24</v>
      </c>
      <c r="AN92" s="2" t="s">
        <v>41</v>
      </c>
      <c r="AO92" s="2" t="s">
        <v>25</v>
      </c>
      <c r="AP92" s="2" t="s">
        <v>958</v>
      </c>
    </row>
    <row r="93" spans="1:42" ht="120" x14ac:dyDescent="0.25">
      <c r="A93" s="2" t="s">
        <v>975</v>
      </c>
      <c r="B93" s="2" t="s">
        <v>976</v>
      </c>
      <c r="C93" s="2">
        <v>2016</v>
      </c>
      <c r="D93" s="2" t="s">
        <v>70</v>
      </c>
      <c r="E93" s="2" t="s">
        <v>111</v>
      </c>
      <c r="F93" s="2" t="s">
        <v>153</v>
      </c>
      <c r="G93" s="2"/>
      <c r="H93" s="2">
        <v>222</v>
      </c>
      <c r="I93" s="2">
        <v>230</v>
      </c>
      <c r="J93" s="2">
        <v>8</v>
      </c>
      <c r="K93" s="2">
        <v>1</v>
      </c>
      <c r="L93" s="2" t="s">
        <v>977</v>
      </c>
      <c r="M93" s="12" t="s">
        <v>978</v>
      </c>
      <c r="N93" s="14" t="s">
        <v>979</v>
      </c>
      <c r="O93" s="2"/>
      <c r="P93" s="2"/>
      <c r="Q93" s="2" t="s">
        <v>1469</v>
      </c>
      <c r="R93" s="2"/>
      <c r="S93" t="str">
        <f>INT(C93/10)*10 &amp; "s"</f>
        <v>2010s</v>
      </c>
      <c r="T93" t="s">
        <v>1602</v>
      </c>
      <c r="U93" t="s">
        <v>1618</v>
      </c>
      <c r="V93" t="s">
        <v>1613</v>
      </c>
      <c r="W93" t="s">
        <v>1359</v>
      </c>
      <c r="Z93" t="str">
        <f t="shared" si="8"/>
        <v/>
      </c>
      <c r="AA93" s="2"/>
      <c r="AB93" t="str">
        <f t="shared" si="9"/>
        <v>Local</v>
      </c>
      <c r="AC93" s="2"/>
      <c r="AD93" s="2"/>
      <c r="AE93" s="2"/>
      <c r="AF93" s="2"/>
      <c r="AG93" s="2"/>
      <c r="AH93" s="2"/>
      <c r="AI93" s="2" t="s">
        <v>980</v>
      </c>
      <c r="AJ93" s="2"/>
      <c r="AK93" t="s">
        <v>1697</v>
      </c>
      <c r="AL93" s="2" t="s">
        <v>23</v>
      </c>
      <c r="AM93" s="2" t="s">
        <v>24</v>
      </c>
      <c r="AN93" s="2"/>
      <c r="AO93" s="2" t="s">
        <v>25</v>
      </c>
      <c r="AP93" s="2" t="s">
        <v>982</v>
      </c>
    </row>
    <row r="94" spans="1:42" ht="180" x14ac:dyDescent="0.25">
      <c r="A94" s="2" t="s">
        <v>1010</v>
      </c>
      <c r="B94" s="2" t="s">
        <v>1011</v>
      </c>
      <c r="C94" s="2">
        <v>2016</v>
      </c>
      <c r="D94" s="2" t="s">
        <v>128</v>
      </c>
      <c r="E94" s="2" t="s">
        <v>598</v>
      </c>
      <c r="F94" s="2"/>
      <c r="G94" s="2"/>
      <c r="H94" s="2">
        <v>432</v>
      </c>
      <c r="I94" s="2">
        <v>438</v>
      </c>
      <c r="J94" s="2">
        <v>6</v>
      </c>
      <c r="K94" s="2">
        <v>0</v>
      </c>
      <c r="L94" s="2"/>
      <c r="M94" s="2" t="s">
        <v>1012</v>
      </c>
      <c r="N94" s="4" t="s">
        <v>1661</v>
      </c>
      <c r="O94" s="2"/>
      <c r="P94" s="2"/>
      <c r="Q94" s="2" t="s">
        <v>1645</v>
      </c>
      <c r="R94" s="2"/>
      <c r="S94" t="str">
        <f>INT(C94/10)*10 &amp; "s"</f>
        <v>2010s</v>
      </c>
      <c r="U94" t="s">
        <v>1618</v>
      </c>
      <c r="V94" t="s">
        <v>1613</v>
      </c>
      <c r="W94" t="s">
        <v>1359</v>
      </c>
      <c r="X94" t="s">
        <v>1607</v>
      </c>
      <c r="Z94" t="str">
        <f t="shared" si="8"/>
        <v/>
      </c>
      <c r="AA94" s="2"/>
      <c r="AB94" t="str">
        <f t="shared" si="9"/>
        <v>Local</v>
      </c>
      <c r="AC94" s="2"/>
      <c r="AD94" s="2"/>
      <c r="AE94" s="2"/>
      <c r="AF94" s="2"/>
      <c r="AG94" s="2"/>
      <c r="AH94" s="2"/>
      <c r="AI94" s="2"/>
      <c r="AJ94" s="2" t="s">
        <v>1014</v>
      </c>
      <c r="AK94" t="s">
        <v>1015</v>
      </c>
      <c r="AL94" s="2" t="s">
        <v>29</v>
      </c>
      <c r="AM94" s="2" t="s">
        <v>24</v>
      </c>
      <c r="AN94" s="2"/>
      <c r="AO94" s="2" t="s">
        <v>25</v>
      </c>
      <c r="AP94" s="2" t="s">
        <v>1016</v>
      </c>
    </row>
    <row r="95" spans="1:42" ht="210" x14ac:dyDescent="0.25">
      <c r="A95" s="2" t="s">
        <v>89</v>
      </c>
      <c r="B95" s="2" t="s">
        <v>90</v>
      </c>
      <c r="C95" s="2">
        <v>2017</v>
      </c>
      <c r="D95" s="2" t="s">
        <v>45</v>
      </c>
      <c r="E95" s="2" t="s">
        <v>91</v>
      </c>
      <c r="F95" s="2"/>
      <c r="G95" s="2"/>
      <c r="H95" s="2">
        <v>363</v>
      </c>
      <c r="I95" s="2">
        <v>377</v>
      </c>
      <c r="J95" s="2">
        <v>14</v>
      </c>
      <c r="K95" s="2">
        <v>21</v>
      </c>
      <c r="L95" s="2" t="s">
        <v>92</v>
      </c>
      <c r="M95" s="12" t="s">
        <v>93</v>
      </c>
      <c r="N95" s="14" t="s">
        <v>94</v>
      </c>
      <c r="O95" s="2"/>
      <c r="P95" s="2"/>
      <c r="Q95" s="2" t="s">
        <v>1463</v>
      </c>
      <c r="R95" s="2"/>
      <c r="S95" t="str">
        <f>INT(C95/10)*10 &amp; "s"</f>
        <v>2010s</v>
      </c>
      <c r="U95" t="s">
        <v>1618</v>
      </c>
      <c r="V95" t="s">
        <v>1613</v>
      </c>
      <c r="W95" t="s">
        <v>1359</v>
      </c>
      <c r="Y95" t="s">
        <v>1609</v>
      </c>
      <c r="Z95" t="str">
        <f t="shared" si="8"/>
        <v/>
      </c>
      <c r="AA95" t="s">
        <v>1501</v>
      </c>
      <c r="AB95" t="str">
        <f t="shared" si="9"/>
        <v>Bulk</v>
      </c>
      <c r="AC95" s="2" t="s">
        <v>1502</v>
      </c>
      <c r="AD95" s="2" t="s">
        <v>1503</v>
      </c>
      <c r="AE95" s="2" t="s">
        <v>1557</v>
      </c>
      <c r="AF95" s="2" t="s">
        <v>1558</v>
      </c>
      <c r="AG95" s="2" t="s">
        <v>1508</v>
      </c>
      <c r="AH95" s="2" t="s">
        <v>1528</v>
      </c>
      <c r="AI95" s="2" t="s">
        <v>95</v>
      </c>
      <c r="AJ95" s="2" t="s">
        <v>96</v>
      </c>
      <c r="AK95" t="s">
        <v>97</v>
      </c>
      <c r="AL95" s="2" t="s">
        <v>23</v>
      </c>
      <c r="AM95" s="2" t="s">
        <v>24</v>
      </c>
      <c r="AN95" s="2"/>
      <c r="AO95" s="2" t="s">
        <v>25</v>
      </c>
      <c r="AP95" s="2" t="s">
        <v>98</v>
      </c>
    </row>
    <row r="96" spans="1:42" ht="150" x14ac:dyDescent="0.25">
      <c r="A96" s="2" t="s">
        <v>409</v>
      </c>
      <c r="B96" s="2" t="s">
        <v>559</v>
      </c>
      <c r="C96" s="2">
        <v>2017</v>
      </c>
      <c r="D96" s="2" t="s">
        <v>560</v>
      </c>
      <c r="E96" s="2" t="s">
        <v>561</v>
      </c>
      <c r="F96" s="2"/>
      <c r="G96" s="2"/>
      <c r="H96" s="2">
        <v>664</v>
      </c>
      <c r="I96" s="2">
        <v>669</v>
      </c>
      <c r="J96" s="2">
        <v>5</v>
      </c>
      <c r="K96" s="2">
        <v>14</v>
      </c>
      <c r="L96" s="2" t="s">
        <v>562</v>
      </c>
      <c r="M96" s="2" t="s">
        <v>563</v>
      </c>
      <c r="N96" s="4" t="s">
        <v>564</v>
      </c>
      <c r="O96" s="2"/>
      <c r="P96" s="2"/>
      <c r="Q96" s="2" t="s">
        <v>1456</v>
      </c>
      <c r="R96" s="2"/>
      <c r="S96" t="str">
        <f>INT(C96/10)*10 &amp; "s"</f>
        <v>2010s</v>
      </c>
      <c r="U96" t="str">
        <f>IF(AA96&lt;&gt;"","Simulation","Experiment")</f>
        <v>Experiment</v>
      </c>
      <c r="Z96" t="str">
        <f t="shared" si="8"/>
        <v/>
      </c>
      <c r="AA96" s="2"/>
      <c r="AB96" t="str">
        <f t="shared" si="9"/>
        <v>Local</v>
      </c>
      <c r="AC96" s="2"/>
      <c r="AD96" s="2"/>
      <c r="AE96" s="2"/>
      <c r="AF96" s="2"/>
      <c r="AG96" s="2"/>
      <c r="AH96" s="2"/>
      <c r="AI96" s="2" t="s">
        <v>565</v>
      </c>
      <c r="AJ96" s="2" t="s">
        <v>566</v>
      </c>
      <c r="AK96" t="s">
        <v>567</v>
      </c>
      <c r="AL96" s="2" t="s">
        <v>29</v>
      </c>
      <c r="AM96" s="2" t="s">
        <v>24</v>
      </c>
      <c r="AN96" s="2" t="s">
        <v>30</v>
      </c>
      <c r="AO96" s="2" t="s">
        <v>25</v>
      </c>
      <c r="AP96" s="2" t="s">
        <v>568</v>
      </c>
    </row>
    <row r="97" spans="1:42" ht="225" x14ac:dyDescent="0.25">
      <c r="A97" s="2" t="s">
        <v>480</v>
      </c>
      <c r="B97" s="2" t="s">
        <v>588</v>
      </c>
      <c r="C97" s="2">
        <v>2017</v>
      </c>
      <c r="D97" s="2" t="s">
        <v>45</v>
      </c>
      <c r="E97" s="2" t="s">
        <v>91</v>
      </c>
      <c r="F97" s="2"/>
      <c r="G97" s="2"/>
      <c r="H97" s="2">
        <v>133</v>
      </c>
      <c r="I97" s="2">
        <v>145</v>
      </c>
      <c r="J97" s="2">
        <v>12</v>
      </c>
      <c r="K97" s="2">
        <v>15</v>
      </c>
      <c r="L97" s="2" t="s">
        <v>589</v>
      </c>
      <c r="M97" s="2" t="s">
        <v>590</v>
      </c>
      <c r="N97" s="4" t="s">
        <v>591</v>
      </c>
      <c r="O97" s="2"/>
      <c r="P97" s="2"/>
      <c r="Q97" s="2" t="s">
        <v>1464</v>
      </c>
      <c r="R97" s="2"/>
      <c r="S97" t="str">
        <f>INT(C97/10)*10 &amp; "s"</f>
        <v>2010s</v>
      </c>
      <c r="U97" t="str">
        <f>IF(AA97&lt;&gt;"","Simulation","Experiment")</f>
        <v>Experiment</v>
      </c>
      <c r="Z97" t="str">
        <f t="shared" si="8"/>
        <v/>
      </c>
      <c r="AA97" s="2"/>
      <c r="AB97" t="str">
        <f t="shared" si="9"/>
        <v>Local</v>
      </c>
      <c r="AC97" s="2"/>
      <c r="AD97" s="2"/>
      <c r="AE97" s="2"/>
      <c r="AF97" s="2"/>
      <c r="AG97" s="2"/>
      <c r="AH97" s="2"/>
      <c r="AI97" s="2" t="s">
        <v>592</v>
      </c>
      <c r="AJ97" s="2" t="s">
        <v>593</v>
      </c>
      <c r="AK97" t="s">
        <v>594</v>
      </c>
      <c r="AL97" s="2" t="s">
        <v>23</v>
      </c>
      <c r="AM97" s="2" t="s">
        <v>24</v>
      </c>
      <c r="AN97" s="2" t="s">
        <v>41</v>
      </c>
      <c r="AO97" s="2" t="s">
        <v>25</v>
      </c>
      <c r="AP97" s="2" t="s">
        <v>595</v>
      </c>
    </row>
    <row r="98" spans="1:42" ht="165" x14ac:dyDescent="0.25">
      <c r="A98" s="2" t="s">
        <v>623</v>
      </c>
      <c r="B98" s="2" t="s">
        <v>624</v>
      </c>
      <c r="C98" s="2">
        <v>2017</v>
      </c>
      <c r="D98" s="2" t="s">
        <v>560</v>
      </c>
      <c r="E98" s="2" t="s">
        <v>561</v>
      </c>
      <c r="F98" s="2"/>
      <c r="G98" s="2"/>
      <c r="H98" s="2">
        <v>759</v>
      </c>
      <c r="I98" s="2">
        <v>764</v>
      </c>
      <c r="J98" s="2">
        <v>5</v>
      </c>
      <c r="K98" s="2">
        <v>2</v>
      </c>
      <c r="L98" s="2" t="s">
        <v>625</v>
      </c>
      <c r="M98" s="12" t="s">
        <v>626</v>
      </c>
      <c r="N98" s="14" t="s">
        <v>1662</v>
      </c>
      <c r="O98" s="2"/>
      <c r="P98" s="2"/>
      <c r="Q98" s="2" t="s">
        <v>1463</v>
      </c>
      <c r="R98" s="2"/>
      <c r="S98" t="str">
        <f>INT(C98/10)*10 &amp; "s"</f>
        <v>2010s</v>
      </c>
      <c r="U98" t="str">
        <f>IF(AA98&lt;&gt;"","Simulation","Experiment")</f>
        <v>Simulation</v>
      </c>
      <c r="V98" t="s">
        <v>1612</v>
      </c>
      <c r="W98" t="s">
        <v>1685</v>
      </c>
      <c r="Z98" t="str">
        <f t="shared" si="8"/>
        <v/>
      </c>
      <c r="AA98" t="s">
        <v>1507</v>
      </c>
      <c r="AB98" t="str">
        <f t="shared" si="9"/>
        <v>Local</v>
      </c>
      <c r="AC98" s="2" t="s">
        <v>1502</v>
      </c>
      <c r="AD98" s="2" t="s">
        <v>1517</v>
      </c>
      <c r="AE98" s="2" t="s">
        <v>1513</v>
      </c>
      <c r="AG98" s="2" t="s">
        <v>1508</v>
      </c>
      <c r="AH98" s="2" t="s">
        <v>1528</v>
      </c>
      <c r="AI98" s="2" t="s">
        <v>628</v>
      </c>
      <c r="AJ98" s="2" t="s">
        <v>629</v>
      </c>
      <c r="AK98" t="s">
        <v>630</v>
      </c>
      <c r="AL98" s="2" t="s">
        <v>29</v>
      </c>
      <c r="AM98" s="2" t="s">
        <v>24</v>
      </c>
      <c r="AN98" s="2" t="s">
        <v>64</v>
      </c>
      <c r="AO98" s="2" t="s">
        <v>25</v>
      </c>
      <c r="AP98" s="2" t="s">
        <v>631</v>
      </c>
    </row>
    <row r="99" spans="1:42" ht="210" x14ac:dyDescent="0.25">
      <c r="A99" s="2" t="s">
        <v>741</v>
      </c>
      <c r="B99" s="2" t="s">
        <v>742</v>
      </c>
      <c r="C99" s="2">
        <v>2017</v>
      </c>
      <c r="D99" s="2" t="s">
        <v>560</v>
      </c>
      <c r="E99" s="2" t="s">
        <v>561</v>
      </c>
      <c r="F99" s="2"/>
      <c r="G99" s="2"/>
      <c r="H99" s="2">
        <v>855</v>
      </c>
      <c r="I99" s="2">
        <v>860</v>
      </c>
      <c r="J99" s="2">
        <v>5</v>
      </c>
      <c r="K99" s="2">
        <v>2</v>
      </c>
      <c r="L99" s="2" t="s">
        <v>743</v>
      </c>
      <c r="M99" s="12" t="s">
        <v>744</v>
      </c>
      <c r="N99" s="14" t="s">
        <v>1663</v>
      </c>
      <c r="O99" s="2"/>
      <c r="P99" s="2"/>
      <c r="Q99" s="2" t="s">
        <v>1469</v>
      </c>
      <c r="R99" s="2"/>
      <c r="S99" t="str">
        <f>INT(C99/10)*10 &amp; "s"</f>
        <v>2010s</v>
      </c>
      <c r="T99" t="s">
        <v>1602</v>
      </c>
      <c r="U99" t="s">
        <v>1618</v>
      </c>
      <c r="V99" t="s">
        <v>1613</v>
      </c>
      <c r="W99" t="s">
        <v>1359</v>
      </c>
      <c r="Z99" t="str">
        <f t="shared" si="8"/>
        <v/>
      </c>
      <c r="AA99" s="2"/>
      <c r="AB99" t="str">
        <f t="shared" si="9"/>
        <v>Local</v>
      </c>
      <c r="AC99" s="2"/>
      <c r="AD99" s="2"/>
      <c r="AE99" s="2"/>
      <c r="AF99" s="2"/>
      <c r="AG99" s="2"/>
      <c r="AH99" s="2"/>
      <c r="AI99" s="2" t="s">
        <v>746</v>
      </c>
      <c r="AJ99" s="2" t="s">
        <v>747</v>
      </c>
      <c r="AK99" t="s">
        <v>1698</v>
      </c>
      <c r="AL99" s="2" t="s">
        <v>29</v>
      </c>
      <c r="AM99" s="2" t="s">
        <v>24</v>
      </c>
      <c r="AN99" s="2" t="s">
        <v>64</v>
      </c>
      <c r="AO99" s="2" t="s">
        <v>25</v>
      </c>
      <c r="AP99" s="2" t="s">
        <v>749</v>
      </c>
    </row>
    <row r="100" spans="1:42" ht="165" x14ac:dyDescent="0.25">
      <c r="A100" s="2" t="s">
        <v>822</v>
      </c>
      <c r="B100" s="2" t="s">
        <v>823</v>
      </c>
      <c r="C100" s="2">
        <v>2017</v>
      </c>
      <c r="D100" s="2" t="s">
        <v>324</v>
      </c>
      <c r="E100" s="2" t="s">
        <v>71</v>
      </c>
      <c r="F100" s="2" t="s">
        <v>22</v>
      </c>
      <c r="G100" s="2"/>
      <c r="H100" s="2">
        <v>162</v>
      </c>
      <c r="I100" s="2">
        <v>189</v>
      </c>
      <c r="J100" s="2">
        <v>27</v>
      </c>
      <c r="K100" s="2">
        <v>4</v>
      </c>
      <c r="L100" s="2" t="s">
        <v>824</v>
      </c>
      <c r="M100" s="12" t="s">
        <v>825</v>
      </c>
      <c r="N100" s="14" t="s">
        <v>826</v>
      </c>
      <c r="O100" s="2"/>
      <c r="P100" s="2"/>
      <c r="Q100" s="2" t="s">
        <v>1456</v>
      </c>
      <c r="R100" s="2"/>
      <c r="S100" t="str">
        <f>INT(C100/10)*10 &amp; "s"</f>
        <v>2010s</v>
      </c>
      <c r="U100" t="str">
        <f>IF(AA100&lt;&gt;"","Simulation","Experiment")</f>
        <v>Experiment</v>
      </c>
      <c r="Z100" t="str">
        <f t="shared" si="8"/>
        <v/>
      </c>
      <c r="AA100" s="2"/>
      <c r="AB100" t="str">
        <f t="shared" si="9"/>
        <v>Local</v>
      </c>
      <c r="AC100" s="2"/>
      <c r="AD100" s="2"/>
      <c r="AE100" s="2"/>
      <c r="AF100" s="2"/>
      <c r="AG100" s="2"/>
      <c r="AH100" s="2"/>
      <c r="AI100" s="2" t="s">
        <v>827</v>
      </c>
      <c r="AJ100" s="2" t="s">
        <v>828</v>
      </c>
      <c r="AK100" t="s">
        <v>829</v>
      </c>
      <c r="AL100" s="2" t="s">
        <v>23</v>
      </c>
      <c r="AM100" s="2" t="s">
        <v>24</v>
      </c>
      <c r="AN100" s="2"/>
      <c r="AO100" s="2" t="s">
        <v>25</v>
      </c>
      <c r="AP100" s="2" t="s">
        <v>830</v>
      </c>
    </row>
    <row r="101" spans="1:42" ht="165" x14ac:dyDescent="0.25">
      <c r="A101" s="2" t="s">
        <v>848</v>
      </c>
      <c r="B101" s="2" t="s">
        <v>849</v>
      </c>
      <c r="C101" s="2">
        <v>2017</v>
      </c>
      <c r="D101" s="2" t="s">
        <v>560</v>
      </c>
      <c r="E101" s="2" t="s">
        <v>561</v>
      </c>
      <c r="F101" s="2"/>
      <c r="G101" s="2"/>
      <c r="H101" s="2">
        <v>652</v>
      </c>
      <c r="I101" s="2">
        <v>657</v>
      </c>
      <c r="J101" s="2">
        <v>5</v>
      </c>
      <c r="K101" s="2">
        <v>14</v>
      </c>
      <c r="L101" s="2" t="s">
        <v>850</v>
      </c>
      <c r="M101" s="12" t="s">
        <v>851</v>
      </c>
      <c r="N101" s="14" t="s">
        <v>1375</v>
      </c>
      <c r="O101" s="2"/>
      <c r="P101" s="2"/>
      <c r="Q101" s="2" t="s">
        <v>1645</v>
      </c>
      <c r="R101" s="2"/>
      <c r="S101" t="str">
        <f>INT(C101/10)*10 &amp; "s"</f>
        <v>2010s</v>
      </c>
      <c r="U101" t="str">
        <f>IF(AA101&lt;&gt;"","Simulation","Experiment")</f>
        <v>Simulation</v>
      </c>
      <c r="V101" t="s">
        <v>1619</v>
      </c>
      <c r="W101" t="s">
        <v>1359</v>
      </c>
      <c r="Z101" t="str">
        <f t="shared" si="8"/>
        <v/>
      </c>
      <c r="AA101" t="s">
        <v>1515</v>
      </c>
      <c r="AB101" t="str">
        <f t="shared" si="9"/>
        <v>Local</v>
      </c>
      <c r="AC101" s="2" t="s">
        <v>1502</v>
      </c>
      <c r="AD101" s="2" t="s">
        <v>1503</v>
      </c>
      <c r="AE101" s="2" t="s">
        <v>1559</v>
      </c>
      <c r="AG101" s="2" t="s">
        <v>1508</v>
      </c>
      <c r="AH101" s="2" t="s">
        <v>1560</v>
      </c>
      <c r="AI101" s="2" t="s">
        <v>852</v>
      </c>
      <c r="AJ101" s="2" t="s">
        <v>853</v>
      </c>
      <c r="AK101" t="s">
        <v>854</v>
      </c>
      <c r="AL101" s="2" t="s">
        <v>29</v>
      </c>
      <c r="AM101" s="2" t="s">
        <v>24</v>
      </c>
      <c r="AN101" s="2" t="s">
        <v>64</v>
      </c>
      <c r="AO101" s="2" t="s">
        <v>25</v>
      </c>
      <c r="AP101" s="2" t="s">
        <v>855</v>
      </c>
    </row>
    <row r="102" spans="1:42" ht="345" hidden="1" x14ac:dyDescent="0.25">
      <c r="A102" s="7" t="s">
        <v>604</v>
      </c>
      <c r="B102" s="7" t="s">
        <v>722</v>
      </c>
      <c r="C102" s="7">
        <v>2012</v>
      </c>
      <c r="D102" s="7" t="s">
        <v>45</v>
      </c>
      <c r="E102" s="7" t="s">
        <v>723</v>
      </c>
      <c r="F102" s="7"/>
      <c r="G102" s="7"/>
      <c r="H102" s="7">
        <v>114</v>
      </c>
      <c r="I102" s="7">
        <v>124</v>
      </c>
      <c r="J102" s="7">
        <v>10</v>
      </c>
      <c r="K102" s="7">
        <v>4</v>
      </c>
      <c r="L102" s="7" t="s">
        <v>724</v>
      </c>
      <c r="M102" s="24" t="s">
        <v>725</v>
      </c>
      <c r="N102" s="7" t="s">
        <v>726</v>
      </c>
      <c r="O102" s="2"/>
      <c r="P102" s="2" t="s">
        <v>1371</v>
      </c>
      <c r="Q102" s="2"/>
      <c r="R102" s="2"/>
      <c r="S102" s="2"/>
      <c r="T102" s="2"/>
      <c r="U102" s="2"/>
      <c r="V102" s="2"/>
      <c r="W102" s="2"/>
      <c r="X102" s="2"/>
      <c r="Y102" s="2"/>
      <c r="Z102" t="str">
        <f t="shared" si="8"/>
        <v/>
      </c>
      <c r="AA102" s="2"/>
      <c r="AB102" s="2"/>
      <c r="AC102" s="2"/>
      <c r="AD102" s="2"/>
      <c r="AE102" s="2"/>
      <c r="AF102" s="2"/>
      <c r="AG102" s="2"/>
      <c r="AH102" s="2"/>
      <c r="AI102" s="2" t="s">
        <v>727</v>
      </c>
      <c r="AJ102" s="2" t="s">
        <v>728</v>
      </c>
      <c r="AK102" t="s">
        <v>729</v>
      </c>
      <c r="AL102" s="2" t="s">
        <v>23</v>
      </c>
      <c r="AM102" s="2" t="s">
        <v>24</v>
      </c>
      <c r="AN102" s="2"/>
      <c r="AO102" s="2" t="s">
        <v>25</v>
      </c>
      <c r="AP102" s="2" t="s">
        <v>730</v>
      </c>
    </row>
    <row r="103" spans="1:42" ht="135" x14ac:dyDescent="0.25">
      <c r="A103" s="2" t="s">
        <v>892</v>
      </c>
      <c r="B103" s="2" t="s">
        <v>893</v>
      </c>
      <c r="C103" s="2">
        <v>2017</v>
      </c>
      <c r="D103" s="2" t="s">
        <v>856</v>
      </c>
      <c r="E103" s="2" t="s">
        <v>199</v>
      </c>
      <c r="F103" s="2"/>
      <c r="G103" s="2"/>
      <c r="H103" s="2">
        <v>1733</v>
      </c>
      <c r="I103" s="2">
        <v>1740</v>
      </c>
      <c r="J103" s="2">
        <v>7</v>
      </c>
      <c r="K103" s="2">
        <v>0</v>
      </c>
      <c r="L103" s="2" t="s">
        <v>894</v>
      </c>
      <c r="M103" s="12" t="s">
        <v>895</v>
      </c>
      <c r="N103" s="14" t="s">
        <v>896</v>
      </c>
      <c r="O103" s="2"/>
      <c r="P103" s="2"/>
      <c r="Q103" s="2" t="s">
        <v>1469</v>
      </c>
      <c r="R103" s="2"/>
      <c r="S103" t="str">
        <f>INT(C103/10)*10 &amp; "s"</f>
        <v>2010s</v>
      </c>
      <c r="T103" t="s">
        <v>1602</v>
      </c>
      <c r="U103" t="s">
        <v>1601</v>
      </c>
      <c r="V103" t="s">
        <v>1612</v>
      </c>
      <c r="W103" t="s">
        <v>1685</v>
      </c>
      <c r="Z103" t="str">
        <f t="shared" si="8"/>
        <v/>
      </c>
      <c r="AA103" s="2"/>
      <c r="AB103" t="str">
        <f>IF(AA103="1D","Bulk",
IF(AA103="x","","Local"))</f>
        <v>Local</v>
      </c>
      <c r="AC103" s="2"/>
      <c r="AD103" s="2"/>
      <c r="AE103" s="2"/>
      <c r="AF103" s="2"/>
      <c r="AG103" s="2"/>
      <c r="AH103" s="2"/>
      <c r="AI103" s="2" t="s">
        <v>897</v>
      </c>
      <c r="AJ103" s="2" t="s">
        <v>898</v>
      </c>
      <c r="AK103" t="s">
        <v>899</v>
      </c>
      <c r="AL103" s="2" t="s">
        <v>29</v>
      </c>
      <c r="AM103" s="2" t="s">
        <v>24</v>
      </c>
      <c r="AN103" s="2" t="s">
        <v>64</v>
      </c>
      <c r="AO103" s="2" t="s">
        <v>25</v>
      </c>
      <c r="AP103" s="2" t="s">
        <v>900</v>
      </c>
    </row>
    <row r="104" spans="1:42" ht="120" x14ac:dyDescent="0.25">
      <c r="A104" s="2" t="s">
        <v>1033</v>
      </c>
      <c r="B104" s="2" t="s">
        <v>1034</v>
      </c>
      <c r="C104" s="2">
        <v>2017</v>
      </c>
      <c r="D104" s="2" t="s">
        <v>70</v>
      </c>
      <c r="E104" s="2" t="s">
        <v>931</v>
      </c>
      <c r="F104" s="2" t="s">
        <v>22</v>
      </c>
      <c r="G104" s="2"/>
      <c r="H104" s="2">
        <v>93</v>
      </c>
      <c r="I104" s="2">
        <v>103</v>
      </c>
      <c r="J104" s="2">
        <v>10</v>
      </c>
      <c r="K104" s="2">
        <v>0</v>
      </c>
      <c r="L104" s="2" t="s">
        <v>1035</v>
      </c>
      <c r="M104" s="12" t="s">
        <v>1036</v>
      </c>
      <c r="N104" s="14" t="s">
        <v>1664</v>
      </c>
      <c r="O104" s="2"/>
      <c r="P104" s="2"/>
      <c r="Q104" s="2" t="s">
        <v>1469</v>
      </c>
      <c r="R104" s="2"/>
      <c r="S104" t="str">
        <f>INT(C104/10)*10 &amp; "s"</f>
        <v>2010s</v>
      </c>
      <c r="T104" t="s">
        <v>1602</v>
      </c>
      <c r="U104" t="s">
        <v>1618</v>
      </c>
      <c r="V104" t="s">
        <v>1613</v>
      </c>
      <c r="W104" t="s">
        <v>1359</v>
      </c>
      <c r="Z104" t="str">
        <f t="shared" si="8"/>
        <v/>
      </c>
      <c r="AA104" t="s">
        <v>1507</v>
      </c>
      <c r="AB104" t="str">
        <f>IF(AA104="1D","Bulk",
IF(AA104="x","","Local"))</f>
        <v>Local</v>
      </c>
      <c r="AC104" s="2" t="s">
        <v>1555</v>
      </c>
      <c r="AD104" s="2" t="s">
        <v>1544</v>
      </c>
      <c r="AE104" s="2" t="s">
        <v>1556</v>
      </c>
      <c r="AG104" s="2" t="s">
        <v>1508</v>
      </c>
      <c r="AH104" s="2" t="s">
        <v>1551</v>
      </c>
      <c r="AI104" s="2"/>
      <c r="AJ104" s="2"/>
      <c r="AK104" t="s">
        <v>1038</v>
      </c>
      <c r="AL104" s="2" t="s">
        <v>23</v>
      </c>
      <c r="AM104" s="2" t="s">
        <v>24</v>
      </c>
      <c r="AN104" s="2"/>
      <c r="AO104" s="2" t="s">
        <v>25</v>
      </c>
      <c r="AP104" s="2" t="s">
        <v>1039</v>
      </c>
    </row>
    <row r="105" spans="1:42" ht="285" x14ac:dyDescent="0.25">
      <c r="A105" s="2" t="s">
        <v>89</v>
      </c>
      <c r="B105" s="2" t="s">
        <v>442</v>
      </c>
      <c r="C105" s="2">
        <v>2018</v>
      </c>
      <c r="D105" s="2" t="s">
        <v>45</v>
      </c>
      <c r="E105" s="2" t="s">
        <v>443</v>
      </c>
      <c r="F105" s="2"/>
      <c r="G105" s="2"/>
      <c r="H105" s="2">
        <v>12</v>
      </c>
      <c r="I105" s="2">
        <v>28</v>
      </c>
      <c r="J105" s="2">
        <v>16</v>
      </c>
      <c r="K105" s="2">
        <v>36</v>
      </c>
      <c r="L105" s="2" t="s">
        <v>444</v>
      </c>
      <c r="M105" s="12" t="s">
        <v>445</v>
      </c>
      <c r="N105" s="14" t="s">
        <v>446</v>
      </c>
      <c r="O105" s="2" t="s">
        <v>1415</v>
      </c>
      <c r="P105" s="2"/>
      <c r="Q105" s="2" t="s">
        <v>1645</v>
      </c>
      <c r="R105" s="2"/>
      <c r="S105" t="str">
        <f>INT(C105/10)*10 &amp; "s"</f>
        <v>2010s</v>
      </c>
      <c r="U105" t="str">
        <f>IF(AA105&lt;&gt;"","Simulation","Experiment")</f>
        <v>Simulation</v>
      </c>
      <c r="V105" t="s">
        <v>1619</v>
      </c>
      <c r="W105" t="s">
        <v>1359</v>
      </c>
      <c r="Z105" t="str">
        <f t="shared" si="8"/>
        <v/>
      </c>
      <c r="AA105" t="s">
        <v>1501</v>
      </c>
      <c r="AB105" t="str">
        <f>IF(AA105="1D","Bulk",
IF(AA105="x","","Local"))</f>
        <v>Bulk</v>
      </c>
      <c r="AC105" s="2" t="s">
        <v>1502</v>
      </c>
      <c r="AD105" s="2" t="s">
        <v>1503</v>
      </c>
      <c r="AE105" s="2" t="s">
        <v>1561</v>
      </c>
      <c r="AG105" s="2" t="s">
        <v>1508</v>
      </c>
      <c r="AH105" s="2" t="s">
        <v>1528</v>
      </c>
      <c r="AI105" s="2" t="s">
        <v>447</v>
      </c>
      <c r="AJ105" s="2" t="s">
        <v>448</v>
      </c>
      <c r="AK105" t="s">
        <v>449</v>
      </c>
      <c r="AL105" s="2" t="s">
        <v>23</v>
      </c>
      <c r="AM105" s="2" t="s">
        <v>24</v>
      </c>
      <c r="AN105" s="2"/>
      <c r="AO105" s="2" t="s">
        <v>25</v>
      </c>
      <c r="AP105" s="2" t="s">
        <v>450</v>
      </c>
    </row>
    <row r="106" spans="1:42" ht="90" x14ac:dyDescent="0.25">
      <c r="A106" t="s">
        <v>1420</v>
      </c>
      <c r="B106" s="4" t="s">
        <v>1421</v>
      </c>
      <c r="C106" s="28">
        <v>2019</v>
      </c>
      <c r="D106" s="2" t="s">
        <v>1432</v>
      </c>
      <c r="E106">
        <v>2019</v>
      </c>
      <c r="F106" s="27"/>
      <c r="G106" s="27"/>
      <c r="H106" s="27"/>
      <c r="I106" s="27"/>
      <c r="J106" s="27"/>
      <c r="K106" s="27"/>
      <c r="L106" t="s">
        <v>1447</v>
      </c>
      <c r="M106" s="27"/>
      <c r="N106" s="2" t="s">
        <v>1428</v>
      </c>
      <c r="O106" s="27"/>
      <c r="P106" s="27"/>
      <c r="Q106" s="28" t="s">
        <v>1645</v>
      </c>
      <c r="R106" s="28"/>
      <c r="S106" t="str">
        <f>INT(C106/10)*10 &amp; "s"</f>
        <v>2010s</v>
      </c>
      <c r="U106" t="str">
        <f>IF(AA106&lt;&gt;"","Simulation","Experiment")</f>
        <v>Simulation</v>
      </c>
      <c r="V106" t="s">
        <v>1619</v>
      </c>
      <c r="W106" t="s">
        <v>1359</v>
      </c>
      <c r="Z106" t="str">
        <f t="shared" si="8"/>
        <v/>
      </c>
      <c r="AA106" t="s">
        <v>1501</v>
      </c>
      <c r="AB106" t="str">
        <f>IF(AA106="1D","Bulk",
IF(AA106="x","","Local"))</f>
        <v>Bulk</v>
      </c>
      <c r="AC106" s="2" t="s">
        <v>1502</v>
      </c>
      <c r="AD106" s="2" t="s">
        <v>1517</v>
      </c>
      <c r="AE106" s="2" t="s">
        <v>1513</v>
      </c>
      <c r="AG106" s="2" t="s">
        <v>1508</v>
      </c>
      <c r="AH106" s="2" t="s">
        <v>1563</v>
      </c>
      <c r="AI106" s="27"/>
      <c r="AJ106" s="27"/>
      <c r="AK106" s="27"/>
      <c r="AL106" s="27"/>
      <c r="AM106" s="27"/>
      <c r="AN106" s="27"/>
      <c r="AO106" s="27"/>
      <c r="AP106" s="27"/>
    </row>
    <row r="107" spans="1:42" ht="150" hidden="1" x14ac:dyDescent="0.25">
      <c r="A107" s="2" t="s">
        <v>732</v>
      </c>
      <c r="B107" s="2" t="s">
        <v>733</v>
      </c>
      <c r="C107" s="2">
        <v>2011</v>
      </c>
      <c r="D107" s="2" t="s">
        <v>324</v>
      </c>
      <c r="E107" s="2" t="s">
        <v>580</v>
      </c>
      <c r="F107" s="2" t="s">
        <v>28</v>
      </c>
      <c r="G107" s="2"/>
      <c r="H107" s="2">
        <v>83</v>
      </c>
      <c r="I107" s="2">
        <v>96</v>
      </c>
      <c r="J107" s="2">
        <v>13</v>
      </c>
      <c r="K107" s="2">
        <v>12</v>
      </c>
      <c r="L107" s="2" t="s">
        <v>734</v>
      </c>
      <c r="M107" s="2" t="s">
        <v>735</v>
      </c>
      <c r="N107" s="11" t="s">
        <v>736</v>
      </c>
      <c r="O107" s="2"/>
      <c r="P107" s="2" t="s">
        <v>1371</v>
      </c>
      <c r="Q107" s="2"/>
      <c r="R107" s="2"/>
      <c r="S107" s="2"/>
      <c r="T107" s="2"/>
      <c r="U107" s="2"/>
      <c r="V107" s="2"/>
      <c r="W107" s="2"/>
      <c r="X107" s="2"/>
      <c r="Y107" s="2"/>
      <c r="Z107" t="str">
        <f t="shared" si="8"/>
        <v/>
      </c>
      <c r="AA107" s="2"/>
      <c r="AB107" s="2"/>
      <c r="AC107" s="2"/>
      <c r="AD107" s="2"/>
      <c r="AE107" s="2"/>
      <c r="AF107" s="2"/>
      <c r="AG107" s="2"/>
      <c r="AH107" s="2"/>
      <c r="AI107" s="2" t="s">
        <v>737</v>
      </c>
      <c r="AJ107" s="2" t="s">
        <v>738</v>
      </c>
      <c r="AK107" t="s">
        <v>739</v>
      </c>
      <c r="AL107" s="2" t="s">
        <v>23</v>
      </c>
      <c r="AM107" s="2" t="s">
        <v>24</v>
      </c>
      <c r="AN107" s="2"/>
      <c r="AO107" s="2" t="s">
        <v>25</v>
      </c>
      <c r="AP107" s="2" t="s">
        <v>740</v>
      </c>
    </row>
    <row r="108" spans="1:42" ht="135" hidden="1" x14ac:dyDescent="0.25">
      <c r="A108" s="11" t="s">
        <v>632</v>
      </c>
      <c r="B108" s="11" t="s">
        <v>633</v>
      </c>
      <c r="C108" s="11">
        <v>2010</v>
      </c>
      <c r="D108" s="11" t="s">
        <v>605</v>
      </c>
      <c r="E108" s="11"/>
      <c r="F108" s="11"/>
      <c r="G108" s="11"/>
      <c r="H108" s="11"/>
      <c r="I108" s="11"/>
      <c r="J108" s="11"/>
      <c r="K108" s="11">
        <v>0</v>
      </c>
      <c r="L108" s="11"/>
      <c r="M108" s="16" t="s">
        <v>634</v>
      </c>
      <c r="N108" s="17" t="s">
        <v>635</v>
      </c>
      <c r="O108" s="2"/>
      <c r="P108" s="2" t="s">
        <v>1371</v>
      </c>
      <c r="Q108" s="2"/>
      <c r="R108" s="2"/>
      <c r="S108" s="2"/>
      <c r="T108" s="2"/>
      <c r="U108" s="2"/>
      <c r="V108" s="2"/>
      <c r="W108" s="2"/>
      <c r="X108" s="2"/>
      <c r="Y108" s="2"/>
      <c r="Z108" t="str">
        <f t="shared" si="8"/>
        <v/>
      </c>
      <c r="AA108" s="2"/>
      <c r="AB108" s="2"/>
      <c r="AC108" s="2"/>
      <c r="AD108" s="2"/>
      <c r="AE108" s="2"/>
      <c r="AF108" s="2"/>
      <c r="AG108" s="2"/>
      <c r="AH108" s="2"/>
      <c r="AI108" s="2"/>
      <c r="AJ108" s="2" t="s">
        <v>636</v>
      </c>
      <c r="AK108" t="s">
        <v>637</v>
      </c>
      <c r="AL108" s="2" t="s">
        <v>29</v>
      </c>
      <c r="AM108" s="2" t="s">
        <v>24</v>
      </c>
      <c r="AN108" s="2"/>
      <c r="AO108" s="2" t="s">
        <v>25</v>
      </c>
      <c r="AP108" s="2" t="s">
        <v>638</v>
      </c>
    </row>
    <row r="109" spans="1:42" ht="120" x14ac:dyDescent="0.25">
      <c r="A109" s="2" t="s">
        <v>31</v>
      </c>
      <c r="B109" s="2" t="s">
        <v>32</v>
      </c>
      <c r="C109" s="2">
        <v>2019</v>
      </c>
      <c r="D109" s="2" t="s">
        <v>33</v>
      </c>
      <c r="E109" s="2" t="s">
        <v>34</v>
      </c>
      <c r="F109" s="2"/>
      <c r="G109" s="2"/>
      <c r="H109" s="2">
        <v>12</v>
      </c>
      <c r="I109" s="2">
        <v>21</v>
      </c>
      <c r="J109" s="2">
        <v>9</v>
      </c>
      <c r="K109" s="2">
        <v>15</v>
      </c>
      <c r="L109" s="2" t="s">
        <v>35</v>
      </c>
      <c r="M109" s="2" t="s">
        <v>36</v>
      </c>
      <c r="N109" s="3" t="s">
        <v>1665</v>
      </c>
      <c r="O109" s="4"/>
      <c r="P109" s="4"/>
      <c r="Q109" s="2" t="s">
        <v>1461</v>
      </c>
      <c r="R109" s="2"/>
      <c r="S109" t="str">
        <f>INT(C109/10)*10 &amp; "s"</f>
        <v>2010s</v>
      </c>
      <c r="U109" t="s">
        <v>1605</v>
      </c>
      <c r="V109" t="s">
        <v>1619</v>
      </c>
      <c r="W109" t="s">
        <v>1685</v>
      </c>
      <c r="Z109" t="str">
        <f t="shared" si="8"/>
        <v/>
      </c>
      <c r="AA109" s="2" t="s">
        <v>1371</v>
      </c>
      <c r="AB109" t="str">
        <f>IF(AA109="1D","Bulk",
IF(AA109="x","","Local"))</f>
        <v/>
      </c>
      <c r="AC109" s="2"/>
      <c r="AD109" s="2"/>
      <c r="AE109" s="2"/>
      <c r="AF109" s="2"/>
      <c r="AG109" s="2"/>
      <c r="AH109" s="2"/>
      <c r="AI109" s="2" t="s">
        <v>38</v>
      </c>
      <c r="AJ109" s="2" t="s">
        <v>39</v>
      </c>
      <c r="AK109" t="s">
        <v>40</v>
      </c>
      <c r="AL109" s="2" t="s">
        <v>23</v>
      </c>
      <c r="AM109" s="2" t="s">
        <v>24</v>
      </c>
      <c r="AN109" s="2" t="s">
        <v>41</v>
      </c>
      <c r="AO109" s="2" t="s">
        <v>25</v>
      </c>
      <c r="AP109" s="2" t="s">
        <v>42</v>
      </c>
    </row>
    <row r="110" spans="1:42" ht="195" x14ac:dyDescent="0.25">
      <c r="A110" s="2" t="s">
        <v>43</v>
      </c>
      <c r="B110" s="2" t="s">
        <v>44</v>
      </c>
      <c r="C110" s="2">
        <v>2019</v>
      </c>
      <c r="D110" s="2" t="s">
        <v>45</v>
      </c>
      <c r="E110" s="2" t="s">
        <v>46</v>
      </c>
      <c r="F110" s="2"/>
      <c r="G110" s="2" t="s">
        <v>47</v>
      </c>
      <c r="H110" s="2"/>
      <c r="I110" s="2"/>
      <c r="J110" s="2"/>
      <c r="K110" s="2">
        <v>20</v>
      </c>
      <c r="L110" s="2" t="s">
        <v>48</v>
      </c>
      <c r="M110" s="2" t="s">
        <v>49</v>
      </c>
      <c r="N110" s="4" t="s">
        <v>50</v>
      </c>
      <c r="O110" s="4" t="s">
        <v>1415</v>
      </c>
      <c r="P110" s="4"/>
      <c r="Q110" s="2" t="s">
        <v>1456</v>
      </c>
      <c r="R110" s="2"/>
      <c r="S110" t="str">
        <f>INT(C110/10)*10 &amp; "s"</f>
        <v>2010s</v>
      </c>
      <c r="U110" t="str">
        <f>IF(AA110&lt;&gt;"","Simulation","Experiment")</f>
        <v>Experiment</v>
      </c>
      <c r="X110" t="s">
        <v>1607</v>
      </c>
      <c r="Z110" t="str">
        <f t="shared" si="8"/>
        <v/>
      </c>
      <c r="AA110" s="2"/>
      <c r="AB110" t="str">
        <f>IF(AA110="1D","Bulk",
IF(AA110="x","","Local"))</f>
        <v>Local</v>
      </c>
      <c r="AC110" s="2"/>
      <c r="AD110" s="2"/>
      <c r="AE110" s="2"/>
      <c r="AF110" s="2"/>
      <c r="AG110" s="2"/>
      <c r="AH110" s="2"/>
      <c r="AI110" s="2" t="s">
        <v>51</v>
      </c>
      <c r="AJ110" s="2" t="s">
        <v>52</v>
      </c>
      <c r="AK110" t="s">
        <v>53</v>
      </c>
      <c r="AL110" s="2" t="s">
        <v>23</v>
      </c>
      <c r="AM110" s="2" t="s">
        <v>24</v>
      </c>
      <c r="AN110" s="2"/>
      <c r="AO110" s="2" t="s">
        <v>25</v>
      </c>
      <c r="AP110" s="2" t="s">
        <v>54</v>
      </c>
    </row>
    <row r="111" spans="1:42" ht="150" hidden="1" x14ac:dyDescent="0.25">
      <c r="A111" s="2" t="s">
        <v>1017</v>
      </c>
      <c r="B111" s="2" t="s">
        <v>1018</v>
      </c>
      <c r="C111" s="2">
        <v>2010</v>
      </c>
      <c r="D111" s="2" t="s">
        <v>605</v>
      </c>
      <c r="E111" s="2"/>
      <c r="F111" s="2"/>
      <c r="G111" s="2"/>
      <c r="H111" s="2"/>
      <c r="I111" s="2"/>
      <c r="J111" s="2"/>
      <c r="K111" s="2">
        <v>0</v>
      </c>
      <c r="L111" s="2"/>
      <c r="M111" s="2" t="s">
        <v>1019</v>
      </c>
      <c r="N111" s="7" t="s">
        <v>1020</v>
      </c>
      <c r="O111" s="2"/>
      <c r="P111" s="2" t="s">
        <v>1371</v>
      </c>
      <c r="Q111" s="2"/>
      <c r="R111" s="2"/>
      <c r="S111" s="2"/>
      <c r="T111" s="2"/>
      <c r="U111" s="2"/>
      <c r="V111" s="2"/>
      <c r="W111" s="2"/>
      <c r="X111" s="2"/>
      <c r="Y111" s="2"/>
      <c r="Z111" t="str">
        <f t="shared" si="8"/>
        <v/>
      </c>
      <c r="AA111" s="2"/>
      <c r="AB111" s="2"/>
      <c r="AC111" s="2"/>
      <c r="AD111" s="2"/>
      <c r="AE111" s="2"/>
      <c r="AF111" s="2"/>
      <c r="AG111" s="2"/>
      <c r="AH111" s="2"/>
      <c r="AI111" s="2"/>
      <c r="AJ111" s="2" t="s">
        <v>1021</v>
      </c>
      <c r="AK111" t="s">
        <v>1022</v>
      </c>
      <c r="AL111" s="2" t="s">
        <v>29</v>
      </c>
      <c r="AM111" s="2" t="s">
        <v>24</v>
      </c>
      <c r="AN111" s="2"/>
      <c r="AO111" s="2" t="s">
        <v>25</v>
      </c>
      <c r="AP111" s="2" t="s">
        <v>1023</v>
      </c>
    </row>
    <row r="112" spans="1:42" ht="210" x14ac:dyDescent="0.25">
      <c r="A112" s="2" t="s">
        <v>68</v>
      </c>
      <c r="B112" s="2" t="s">
        <v>69</v>
      </c>
      <c r="C112" s="2">
        <v>2019</v>
      </c>
      <c r="D112" s="2" t="s">
        <v>70</v>
      </c>
      <c r="E112" s="2" t="s">
        <v>71</v>
      </c>
      <c r="F112" s="2" t="s">
        <v>72</v>
      </c>
      <c r="G112" s="2"/>
      <c r="H112" s="2">
        <v>269</v>
      </c>
      <c r="I112" s="2">
        <v>278</v>
      </c>
      <c r="J112" s="2">
        <v>9</v>
      </c>
      <c r="K112" s="2">
        <v>2</v>
      </c>
      <c r="L112" s="2" t="s">
        <v>73</v>
      </c>
      <c r="M112" s="12" t="s">
        <v>74</v>
      </c>
      <c r="N112" s="14" t="s">
        <v>75</v>
      </c>
      <c r="O112" s="19"/>
      <c r="P112" s="19"/>
      <c r="Q112" s="2" t="s">
        <v>1456</v>
      </c>
      <c r="R112" s="2"/>
      <c r="S112" t="str">
        <f>INT(C112/10)*10 &amp; "s"</f>
        <v>2010s</v>
      </c>
      <c r="U112" t="str">
        <f>IF(AA112&lt;&gt;"","Simulation","Experiment")</f>
        <v>Experiment</v>
      </c>
      <c r="Z112" t="str">
        <f t="shared" si="8"/>
        <v/>
      </c>
      <c r="AA112" s="2"/>
      <c r="AB112" t="str">
        <f t="shared" ref="AB112:AB125" si="10">IF(AA112="1D","Bulk",
IF(AA112="x","","Local"))</f>
        <v>Local</v>
      </c>
      <c r="AC112" s="2"/>
      <c r="AD112" s="2"/>
      <c r="AE112" s="2"/>
      <c r="AF112" s="2"/>
      <c r="AG112" s="2"/>
      <c r="AH112" s="2"/>
      <c r="AI112" s="2" t="s">
        <v>76</v>
      </c>
      <c r="AJ112" s="2"/>
      <c r="AK112" t="s">
        <v>77</v>
      </c>
      <c r="AL112" s="2" t="s">
        <v>23</v>
      </c>
      <c r="AM112" s="2" t="s">
        <v>24</v>
      </c>
      <c r="AN112" s="2" t="s">
        <v>41</v>
      </c>
      <c r="AO112" s="2" t="s">
        <v>25</v>
      </c>
      <c r="AP112" s="2" t="s">
        <v>78</v>
      </c>
    </row>
    <row r="113" spans="1:42" ht="120" x14ac:dyDescent="0.25">
      <c r="A113" s="2" t="s">
        <v>118</v>
      </c>
      <c r="B113" s="2" t="s">
        <v>119</v>
      </c>
      <c r="C113" s="2">
        <v>2019</v>
      </c>
      <c r="D113" s="2" t="s">
        <v>120</v>
      </c>
      <c r="E113" s="2" t="s">
        <v>121</v>
      </c>
      <c r="F113" s="2"/>
      <c r="G113" s="2"/>
      <c r="H113" s="2">
        <v>3</v>
      </c>
      <c r="I113" s="2">
        <v>10</v>
      </c>
      <c r="J113" s="2">
        <v>7</v>
      </c>
      <c r="K113" s="2">
        <v>1</v>
      </c>
      <c r="L113" s="2"/>
      <c r="M113" s="2" t="s">
        <v>122</v>
      </c>
      <c r="N113" s="4" t="s">
        <v>123</v>
      </c>
      <c r="O113" s="2" t="s">
        <v>1415</v>
      </c>
      <c r="P113" s="2"/>
      <c r="Q113" s="2" t="s">
        <v>1463</v>
      </c>
      <c r="R113" s="2"/>
      <c r="S113" t="str">
        <f>INT(C113/10)*10 &amp; "s"</f>
        <v>2010s</v>
      </c>
      <c r="U113" t="s">
        <v>1601</v>
      </c>
      <c r="V113" t="s">
        <v>1619</v>
      </c>
      <c r="W113" s="35" t="s">
        <v>1685</v>
      </c>
      <c r="Y113" t="s">
        <v>1608</v>
      </c>
      <c r="Z113" t="str">
        <f t="shared" si="8"/>
        <v/>
      </c>
      <c r="AA113" s="2"/>
      <c r="AB113" t="str">
        <f t="shared" si="10"/>
        <v>Local</v>
      </c>
      <c r="AC113" s="2"/>
      <c r="AD113" s="2"/>
      <c r="AE113" s="2"/>
      <c r="AF113" s="2"/>
      <c r="AG113" s="2"/>
      <c r="AH113" s="2"/>
      <c r="AI113" s="2"/>
      <c r="AJ113" s="2" t="s">
        <v>124</v>
      </c>
      <c r="AK113" t="s">
        <v>125</v>
      </c>
      <c r="AL113" s="2" t="s">
        <v>29</v>
      </c>
      <c r="AM113" s="2" t="s">
        <v>24</v>
      </c>
      <c r="AN113" s="2"/>
      <c r="AO113" s="2" t="s">
        <v>25</v>
      </c>
      <c r="AP113" s="2" t="s">
        <v>126</v>
      </c>
    </row>
    <row r="114" spans="1:42" ht="150" x14ac:dyDescent="0.25">
      <c r="A114" s="2" t="s">
        <v>162</v>
      </c>
      <c r="B114" s="2" t="s">
        <v>163</v>
      </c>
      <c r="C114" s="2">
        <v>2019</v>
      </c>
      <c r="D114" s="2" t="s">
        <v>164</v>
      </c>
      <c r="E114" s="2" t="s">
        <v>165</v>
      </c>
      <c r="F114" s="2" t="s">
        <v>153</v>
      </c>
      <c r="G114" s="2"/>
      <c r="H114" s="2">
        <v>426</v>
      </c>
      <c r="I114" s="2">
        <v>447</v>
      </c>
      <c r="J114" s="2">
        <v>21</v>
      </c>
      <c r="K114" s="2">
        <v>6</v>
      </c>
      <c r="L114" s="2" t="s">
        <v>166</v>
      </c>
      <c r="M114" s="12" t="s">
        <v>167</v>
      </c>
      <c r="N114" s="14" t="s">
        <v>168</v>
      </c>
      <c r="O114" s="2"/>
      <c r="P114" s="2"/>
      <c r="Q114" s="2" t="s">
        <v>1461</v>
      </c>
      <c r="R114" s="2"/>
      <c r="S114" t="str">
        <f>INT(C114/10)*10 &amp; "s"</f>
        <v>2010s</v>
      </c>
      <c r="U114" t="s">
        <v>1618</v>
      </c>
      <c r="V114" t="s">
        <v>1613</v>
      </c>
      <c r="W114" t="s">
        <v>1359</v>
      </c>
      <c r="Z114" t="str">
        <f t="shared" si="8"/>
        <v/>
      </c>
      <c r="AA114" t="s">
        <v>1507</v>
      </c>
      <c r="AB114" t="str">
        <f t="shared" si="10"/>
        <v>Local</v>
      </c>
      <c r="AC114" s="2" t="s">
        <v>1502</v>
      </c>
      <c r="AD114" s="2" t="s">
        <v>1544</v>
      </c>
      <c r="AE114" s="2" t="s">
        <v>1562</v>
      </c>
      <c r="AG114" s="2" t="s">
        <v>1508</v>
      </c>
      <c r="AH114" s="2" t="s">
        <v>1528</v>
      </c>
      <c r="AI114" s="2" t="s">
        <v>169</v>
      </c>
      <c r="AJ114" s="2" t="s">
        <v>170</v>
      </c>
      <c r="AK114" t="s">
        <v>171</v>
      </c>
      <c r="AL114" s="2" t="s">
        <v>23</v>
      </c>
      <c r="AM114" s="2" t="s">
        <v>24</v>
      </c>
      <c r="AN114" s="2"/>
      <c r="AO114" s="2" t="s">
        <v>25</v>
      </c>
      <c r="AP114" s="2" t="s">
        <v>172</v>
      </c>
    </row>
    <row r="115" spans="1:42" ht="165" x14ac:dyDescent="0.25">
      <c r="A115" s="2" t="s">
        <v>173</v>
      </c>
      <c r="B115" s="2" t="s">
        <v>174</v>
      </c>
      <c r="C115" s="2">
        <v>2019</v>
      </c>
      <c r="D115" s="2" t="s">
        <v>175</v>
      </c>
      <c r="E115" s="2" t="s">
        <v>176</v>
      </c>
      <c r="F115" s="2"/>
      <c r="G115" s="2" t="s">
        <v>177</v>
      </c>
      <c r="H115" s="2"/>
      <c r="I115" s="2"/>
      <c r="J115" s="2"/>
      <c r="K115" s="2">
        <v>15</v>
      </c>
      <c r="L115" s="2" t="s">
        <v>178</v>
      </c>
      <c r="M115" s="12" t="s">
        <v>179</v>
      </c>
      <c r="N115" s="14" t="s">
        <v>180</v>
      </c>
      <c r="O115" s="2"/>
      <c r="P115" s="2"/>
      <c r="Q115" s="2" t="s">
        <v>1645</v>
      </c>
      <c r="R115" s="2"/>
      <c r="S115" t="str">
        <f>INT(C115/10)*10 &amp; "s"</f>
        <v>2010s</v>
      </c>
      <c r="U115" t="s">
        <v>1618</v>
      </c>
      <c r="V115" t="s">
        <v>1613</v>
      </c>
      <c r="W115" t="s">
        <v>1685</v>
      </c>
      <c r="Z115" t="str">
        <f t="shared" ref="Z115:Z146" si="11">IF(U115=3,"Simulation und Experiment",
IF(U115=4,"Review",
IF(U115=5,"Nur Literaturwerte",
IF(U115=6,"Analytical",""))))</f>
        <v/>
      </c>
      <c r="AA115" s="2"/>
      <c r="AB115" t="str">
        <f t="shared" si="10"/>
        <v>Local</v>
      </c>
      <c r="AC115" s="2"/>
      <c r="AD115" s="2"/>
      <c r="AE115" s="2"/>
      <c r="AF115" s="2"/>
      <c r="AG115" s="2"/>
      <c r="AH115" s="2"/>
      <c r="AI115" s="2" t="s">
        <v>181</v>
      </c>
      <c r="AJ115" s="2" t="s">
        <v>182</v>
      </c>
      <c r="AK115" t="s">
        <v>1666</v>
      </c>
      <c r="AL115" s="2" t="s">
        <v>23</v>
      </c>
      <c r="AM115" s="2" t="s">
        <v>24</v>
      </c>
      <c r="AN115" s="2" t="s">
        <v>86</v>
      </c>
      <c r="AO115" s="2" t="s">
        <v>25</v>
      </c>
      <c r="AP115" s="2" t="s">
        <v>184</v>
      </c>
    </row>
    <row r="116" spans="1:42" ht="135" x14ac:dyDescent="0.25">
      <c r="A116" s="2" t="s">
        <v>216</v>
      </c>
      <c r="B116" s="2" t="s">
        <v>217</v>
      </c>
      <c r="C116" s="2">
        <v>2019</v>
      </c>
      <c r="D116" s="2" t="s">
        <v>45</v>
      </c>
      <c r="E116" s="2" t="s">
        <v>218</v>
      </c>
      <c r="F116" s="2"/>
      <c r="G116" s="2"/>
      <c r="H116" s="2">
        <v>172</v>
      </c>
      <c r="I116" s="2">
        <v>181</v>
      </c>
      <c r="J116" s="2">
        <v>9</v>
      </c>
      <c r="K116" s="2">
        <v>9</v>
      </c>
      <c r="L116" s="2" t="s">
        <v>219</v>
      </c>
      <c r="M116" s="2" t="s">
        <v>220</v>
      </c>
      <c r="N116" s="4" t="s">
        <v>221</v>
      </c>
      <c r="O116" s="2" t="s">
        <v>1415</v>
      </c>
      <c r="P116" s="2"/>
      <c r="Q116" s="2" t="s">
        <v>1645</v>
      </c>
      <c r="R116" s="2"/>
      <c r="S116" t="str">
        <f>INT(C116/10)*10 &amp; "s"</f>
        <v>2010s</v>
      </c>
      <c r="U116" t="s">
        <v>1605</v>
      </c>
      <c r="V116" t="s">
        <v>1614</v>
      </c>
      <c r="W116" t="s">
        <v>1685</v>
      </c>
      <c r="Z116" t="str">
        <f t="shared" si="11"/>
        <v/>
      </c>
      <c r="AA116" s="2" t="s">
        <v>1371</v>
      </c>
      <c r="AB116" t="str">
        <f t="shared" si="10"/>
        <v/>
      </c>
      <c r="AC116" s="2"/>
      <c r="AD116" s="2"/>
      <c r="AE116" s="2"/>
      <c r="AF116" s="2"/>
      <c r="AG116" s="2"/>
      <c r="AH116" s="2"/>
      <c r="AI116" s="2" t="s">
        <v>222</v>
      </c>
      <c r="AJ116" s="2" t="s">
        <v>223</v>
      </c>
      <c r="AK116" t="s">
        <v>224</v>
      </c>
      <c r="AL116" s="2" t="s">
        <v>23</v>
      </c>
      <c r="AM116" s="2" t="s">
        <v>24</v>
      </c>
      <c r="AN116" s="2"/>
      <c r="AO116" s="2" t="s">
        <v>25</v>
      </c>
      <c r="AP116" s="2" t="s">
        <v>225</v>
      </c>
    </row>
    <row r="117" spans="1:42" ht="195" x14ac:dyDescent="0.25">
      <c r="A117" s="2" t="s">
        <v>280</v>
      </c>
      <c r="B117" s="2" t="s">
        <v>281</v>
      </c>
      <c r="C117" s="2">
        <v>2019</v>
      </c>
      <c r="D117" s="2" t="s">
        <v>45</v>
      </c>
      <c r="E117" s="2" t="s">
        <v>282</v>
      </c>
      <c r="F117" s="2"/>
      <c r="G117" s="2"/>
      <c r="H117" s="2">
        <v>677</v>
      </c>
      <c r="I117" s="2">
        <v>688</v>
      </c>
      <c r="J117" s="2">
        <v>11</v>
      </c>
      <c r="K117" s="2">
        <v>19</v>
      </c>
      <c r="L117" s="2" t="s">
        <v>283</v>
      </c>
      <c r="M117" s="2" t="s">
        <v>284</v>
      </c>
      <c r="N117" s="4" t="s">
        <v>285</v>
      </c>
      <c r="O117" s="2" t="s">
        <v>1415</v>
      </c>
      <c r="P117" s="2"/>
      <c r="Q117" s="2" t="s">
        <v>1469</v>
      </c>
      <c r="R117" s="2"/>
      <c r="S117" t="str">
        <f>INT(C117/10)*10 &amp; "s"</f>
        <v>2010s</v>
      </c>
      <c r="U117" t="s">
        <v>1618</v>
      </c>
      <c r="V117" t="s">
        <v>1613</v>
      </c>
      <c r="W117" t="s">
        <v>1685</v>
      </c>
      <c r="Z117" t="str">
        <f t="shared" si="11"/>
        <v/>
      </c>
      <c r="AA117" s="2"/>
      <c r="AB117" t="str">
        <f t="shared" si="10"/>
        <v>Local</v>
      </c>
      <c r="AC117" s="2"/>
      <c r="AD117" s="2"/>
      <c r="AE117" s="2"/>
      <c r="AF117" s="2"/>
      <c r="AG117" s="2"/>
      <c r="AH117" s="2"/>
      <c r="AI117" s="2" t="s">
        <v>286</v>
      </c>
      <c r="AJ117" s="2" t="s">
        <v>287</v>
      </c>
      <c r="AK117" t="s">
        <v>1667</v>
      </c>
      <c r="AL117" s="2" t="s">
        <v>23</v>
      </c>
      <c r="AM117" s="2" t="s">
        <v>24</v>
      </c>
      <c r="AN117" s="2"/>
      <c r="AO117" s="2" t="s">
        <v>25</v>
      </c>
      <c r="AP117" s="2" t="s">
        <v>289</v>
      </c>
    </row>
    <row r="118" spans="1:42" ht="225" x14ac:dyDescent="0.25">
      <c r="A118" s="2" t="s">
        <v>409</v>
      </c>
      <c r="B118" s="2" t="s">
        <v>410</v>
      </c>
      <c r="C118" s="2">
        <v>2019</v>
      </c>
      <c r="D118" s="2" t="s">
        <v>45</v>
      </c>
      <c r="E118" s="2" t="s">
        <v>282</v>
      </c>
      <c r="F118" s="2"/>
      <c r="G118" s="2"/>
      <c r="H118" s="2">
        <v>524</v>
      </c>
      <c r="I118" s="2">
        <v>534</v>
      </c>
      <c r="J118" s="2">
        <v>10</v>
      </c>
      <c r="K118" s="2">
        <v>35</v>
      </c>
      <c r="L118" s="2" t="s">
        <v>411</v>
      </c>
      <c r="M118" s="12" t="s">
        <v>412</v>
      </c>
      <c r="N118" s="14" t="s">
        <v>413</v>
      </c>
      <c r="O118" s="2"/>
      <c r="P118" s="2"/>
      <c r="Q118" s="2" t="s">
        <v>1645</v>
      </c>
      <c r="R118" s="2"/>
      <c r="S118" t="str">
        <f>INT(C118/10)*10 &amp; "s"</f>
        <v>2010s</v>
      </c>
      <c r="U118" t="str">
        <f>IF(AA118&lt;&gt;"","Simulation","Experiment")</f>
        <v>Experiment</v>
      </c>
      <c r="Z118" t="str">
        <f t="shared" si="11"/>
        <v/>
      </c>
      <c r="AA118" s="2"/>
      <c r="AB118" t="str">
        <f t="shared" si="10"/>
        <v>Local</v>
      </c>
      <c r="AC118" s="2"/>
      <c r="AD118" s="2"/>
      <c r="AE118" s="2"/>
      <c r="AF118" s="2"/>
      <c r="AG118" s="2"/>
      <c r="AH118" s="2"/>
      <c r="AI118" s="2" t="s">
        <v>414</v>
      </c>
      <c r="AJ118" s="2" t="s">
        <v>415</v>
      </c>
      <c r="AK118" t="s">
        <v>416</v>
      </c>
      <c r="AL118" s="2" t="s">
        <v>23</v>
      </c>
      <c r="AM118" s="2" t="s">
        <v>24</v>
      </c>
      <c r="AN118" s="2" t="s">
        <v>41</v>
      </c>
      <c r="AO118" s="2" t="s">
        <v>25</v>
      </c>
      <c r="AP118" s="2" t="s">
        <v>417</v>
      </c>
    </row>
    <row r="119" spans="1:42" ht="135" x14ac:dyDescent="0.25">
      <c r="A119" s="2" t="s">
        <v>207</v>
      </c>
      <c r="B119" s="2" t="s">
        <v>208</v>
      </c>
      <c r="C119" s="2">
        <v>2020</v>
      </c>
      <c r="D119" s="2" t="s">
        <v>85</v>
      </c>
      <c r="E119" s="2"/>
      <c r="F119" s="2"/>
      <c r="G119" s="2"/>
      <c r="H119" s="2">
        <v>285</v>
      </c>
      <c r="I119" s="2">
        <v>292</v>
      </c>
      <c r="J119" s="2">
        <v>7</v>
      </c>
      <c r="K119" s="2">
        <v>2</v>
      </c>
      <c r="L119" s="2" t="s">
        <v>209</v>
      </c>
      <c r="M119" s="2" t="s">
        <v>210</v>
      </c>
      <c r="N119" s="4" t="s">
        <v>211</v>
      </c>
      <c r="O119" s="2"/>
      <c r="P119" s="2"/>
      <c r="Q119" s="2" t="s">
        <v>1645</v>
      </c>
      <c r="R119" s="2"/>
      <c r="S119" t="str">
        <f>INT(C119/10)*10 &amp; "s"</f>
        <v>2020s</v>
      </c>
      <c r="U119" t="str">
        <f>IF(AA119&lt;&gt;"","Simulation","Experiment")</f>
        <v>Simulation</v>
      </c>
      <c r="V119" t="s">
        <v>1619</v>
      </c>
      <c r="W119" t="s">
        <v>1359</v>
      </c>
      <c r="Z119" t="str">
        <f t="shared" si="11"/>
        <v/>
      </c>
      <c r="AA119" t="s">
        <v>1507</v>
      </c>
      <c r="AB119" t="str">
        <f t="shared" si="10"/>
        <v>Local</v>
      </c>
      <c r="AC119" s="2" t="s">
        <v>1502</v>
      </c>
      <c r="AD119" s="2" t="s">
        <v>1544</v>
      </c>
      <c r="AE119" s="2" t="s">
        <v>1513</v>
      </c>
      <c r="AG119" s="2" t="s">
        <v>1508</v>
      </c>
      <c r="AH119" s="2" t="s">
        <v>1570</v>
      </c>
      <c r="AI119" s="2" t="s">
        <v>212</v>
      </c>
      <c r="AJ119" s="2" t="s">
        <v>213</v>
      </c>
      <c r="AK119" t="s">
        <v>214</v>
      </c>
      <c r="AL119" s="2" t="s">
        <v>29</v>
      </c>
      <c r="AM119" s="2" t="s">
        <v>24</v>
      </c>
      <c r="AN119" s="2" t="s">
        <v>67</v>
      </c>
      <c r="AO119" s="2" t="s">
        <v>25</v>
      </c>
      <c r="AP119" s="2" t="s">
        <v>215</v>
      </c>
    </row>
    <row r="120" spans="1:42" ht="195" x14ac:dyDescent="0.25">
      <c r="A120" s="2" t="s">
        <v>290</v>
      </c>
      <c r="B120" s="2" t="s">
        <v>291</v>
      </c>
      <c r="C120" s="2">
        <v>2020</v>
      </c>
      <c r="D120" s="2" t="s">
        <v>292</v>
      </c>
      <c r="E120" s="2"/>
      <c r="F120" s="2"/>
      <c r="G120" s="2" t="s">
        <v>293</v>
      </c>
      <c r="H120" s="2"/>
      <c r="I120" s="2"/>
      <c r="J120" s="2"/>
      <c r="K120" s="2">
        <v>0</v>
      </c>
      <c r="L120" s="2" t="s">
        <v>294</v>
      </c>
      <c r="M120" s="12" t="s">
        <v>295</v>
      </c>
      <c r="N120" s="14" t="s">
        <v>296</v>
      </c>
      <c r="O120" s="2"/>
      <c r="P120" s="2"/>
      <c r="Q120" s="2" t="s">
        <v>1459</v>
      </c>
      <c r="R120" s="2"/>
      <c r="S120" t="str">
        <f>INT(C120/10)*10 &amp; "s"</f>
        <v>2020s</v>
      </c>
      <c r="U120" s="35" t="str">
        <f>IF(AA120&lt;&gt;"","Simulation","Experiment")</f>
        <v>Simulation</v>
      </c>
      <c r="V120" s="35" t="s">
        <v>1612</v>
      </c>
      <c r="W120" s="35" t="s">
        <v>1685</v>
      </c>
      <c r="X120" s="35"/>
      <c r="Y120" s="35"/>
      <c r="Z120" t="str">
        <f t="shared" si="11"/>
        <v/>
      </c>
      <c r="AA120" t="s">
        <v>1507</v>
      </c>
      <c r="AB120" t="str">
        <f t="shared" si="10"/>
        <v>Local</v>
      </c>
      <c r="AC120" s="2" t="s">
        <v>1502</v>
      </c>
      <c r="AD120" s="2" t="s">
        <v>1517</v>
      </c>
      <c r="AE120" s="2" t="s">
        <v>1513</v>
      </c>
      <c r="AG120" s="2" t="s">
        <v>1508</v>
      </c>
      <c r="AH120" s="2" t="s">
        <v>1551</v>
      </c>
      <c r="AI120" s="2" t="s">
        <v>297</v>
      </c>
      <c r="AJ120" s="2" t="s">
        <v>298</v>
      </c>
      <c r="AK120" t="s">
        <v>1699</v>
      </c>
      <c r="AL120" s="2" t="s">
        <v>29</v>
      </c>
      <c r="AM120" s="2" t="s">
        <v>24</v>
      </c>
      <c r="AN120" s="2"/>
      <c r="AO120" s="2" t="s">
        <v>25</v>
      </c>
      <c r="AP120" s="2" t="s">
        <v>300</v>
      </c>
    </row>
    <row r="121" spans="1:42" ht="195" x14ac:dyDescent="0.25">
      <c r="A121" s="2" t="s">
        <v>432</v>
      </c>
      <c r="B121" s="2" t="s">
        <v>433</v>
      </c>
      <c r="C121" s="2">
        <v>2020</v>
      </c>
      <c r="D121" s="2" t="s">
        <v>431</v>
      </c>
      <c r="E121" s="2" t="s">
        <v>434</v>
      </c>
      <c r="F121" s="2"/>
      <c r="G121" s="2" t="s">
        <v>435</v>
      </c>
      <c r="H121" s="2"/>
      <c r="I121" s="2"/>
      <c r="J121" s="2"/>
      <c r="K121" s="2">
        <v>3</v>
      </c>
      <c r="L121" s="2" t="s">
        <v>436</v>
      </c>
      <c r="M121" s="2" t="s">
        <v>437</v>
      </c>
      <c r="N121" s="4" t="s">
        <v>438</v>
      </c>
      <c r="O121" s="2"/>
      <c r="P121" s="2"/>
      <c r="Q121" s="2" t="s">
        <v>1463</v>
      </c>
      <c r="R121" s="2"/>
      <c r="S121" t="str">
        <f>INT(C121/10)*10 &amp; "s"</f>
        <v>2020s</v>
      </c>
      <c r="U121" t="s">
        <v>1618</v>
      </c>
      <c r="V121" t="s">
        <v>1613</v>
      </c>
      <c r="W121" t="s">
        <v>1359</v>
      </c>
      <c r="Z121" t="str">
        <f t="shared" si="11"/>
        <v/>
      </c>
      <c r="AA121" t="s">
        <v>1501</v>
      </c>
      <c r="AB121" t="str">
        <f t="shared" si="10"/>
        <v>Bulk</v>
      </c>
      <c r="AC121" s="2" t="s">
        <v>1502</v>
      </c>
      <c r="AD121" s="2" t="s">
        <v>1503</v>
      </c>
      <c r="AE121" s="2" t="s">
        <v>1568</v>
      </c>
      <c r="AG121" s="2" t="s">
        <v>1508</v>
      </c>
      <c r="AH121" s="2" t="s">
        <v>1569</v>
      </c>
      <c r="AI121" s="2"/>
      <c r="AJ121" s="2" t="s">
        <v>439</v>
      </c>
      <c r="AK121" t="s">
        <v>440</v>
      </c>
      <c r="AL121" s="2" t="s">
        <v>29</v>
      </c>
      <c r="AM121" s="2" t="s">
        <v>24</v>
      </c>
      <c r="AN121" s="2" t="s">
        <v>30</v>
      </c>
      <c r="AO121" s="2" t="s">
        <v>25</v>
      </c>
      <c r="AP121" s="2" t="s">
        <v>441</v>
      </c>
    </row>
    <row r="122" spans="1:42" ht="165" x14ac:dyDescent="0.25">
      <c r="A122" s="2" t="s">
        <v>480</v>
      </c>
      <c r="B122" s="2" t="s">
        <v>481</v>
      </c>
      <c r="C122" s="2">
        <v>2020</v>
      </c>
      <c r="D122" s="2" t="s">
        <v>324</v>
      </c>
      <c r="E122" s="2" t="s">
        <v>482</v>
      </c>
      <c r="F122" s="2" t="s">
        <v>22</v>
      </c>
      <c r="G122" s="2"/>
      <c r="H122" s="2">
        <v>95</v>
      </c>
      <c r="I122" s="2">
        <v>120</v>
      </c>
      <c r="J122" s="2">
        <v>25</v>
      </c>
      <c r="K122" s="2">
        <v>12</v>
      </c>
      <c r="L122" s="2" t="s">
        <v>483</v>
      </c>
      <c r="M122" s="2" t="s">
        <v>484</v>
      </c>
      <c r="N122" s="4" t="s">
        <v>485</v>
      </c>
      <c r="O122" s="2"/>
      <c r="P122" s="2"/>
      <c r="Q122" s="2" t="s">
        <v>1464</v>
      </c>
      <c r="R122" s="2"/>
      <c r="S122" t="str">
        <f>INT(C122/10)*10 &amp; "s"</f>
        <v>2020s</v>
      </c>
      <c r="U122" t="s">
        <v>1618</v>
      </c>
      <c r="V122" t="s">
        <v>1613</v>
      </c>
      <c r="W122" t="s">
        <v>1359</v>
      </c>
      <c r="X122" t="s">
        <v>1607</v>
      </c>
      <c r="Z122" t="str">
        <f t="shared" si="11"/>
        <v/>
      </c>
      <c r="AA122" t="s">
        <v>1545</v>
      </c>
      <c r="AB122" t="str">
        <f t="shared" si="10"/>
        <v>Local</v>
      </c>
      <c r="AC122" s="2" t="s">
        <v>1502</v>
      </c>
      <c r="AD122" s="2" t="s">
        <v>1544</v>
      </c>
      <c r="AE122" s="2" t="s">
        <v>1566</v>
      </c>
      <c r="AG122" s="2" t="s">
        <v>1567</v>
      </c>
      <c r="AH122" s="2" t="s">
        <v>1528</v>
      </c>
      <c r="AI122" s="2" t="s">
        <v>486</v>
      </c>
      <c r="AJ122" s="2" t="s">
        <v>487</v>
      </c>
      <c r="AK122" t="s">
        <v>1668</v>
      </c>
      <c r="AL122" s="2" t="s">
        <v>23</v>
      </c>
      <c r="AM122" s="2" t="s">
        <v>24</v>
      </c>
      <c r="AN122" s="2"/>
      <c r="AO122" s="2" t="s">
        <v>25</v>
      </c>
      <c r="AP122" s="2" t="s">
        <v>489</v>
      </c>
    </row>
    <row r="123" spans="1:42" ht="150" x14ac:dyDescent="0.25">
      <c r="A123" s="2" t="s">
        <v>499</v>
      </c>
      <c r="B123" s="2" t="s">
        <v>500</v>
      </c>
      <c r="C123" s="2">
        <v>2020</v>
      </c>
      <c r="D123" s="2" t="s">
        <v>431</v>
      </c>
      <c r="E123" s="2" t="s">
        <v>434</v>
      </c>
      <c r="F123" s="2"/>
      <c r="G123" s="2" t="s">
        <v>501</v>
      </c>
      <c r="H123" s="2"/>
      <c r="I123" s="2"/>
      <c r="J123" s="2"/>
      <c r="K123" s="2">
        <v>2</v>
      </c>
      <c r="L123" s="2" t="s">
        <v>502</v>
      </c>
      <c r="M123" s="2" t="s">
        <v>503</v>
      </c>
      <c r="N123" s="4" t="s">
        <v>504</v>
      </c>
      <c r="O123" s="2"/>
      <c r="P123" s="2"/>
      <c r="Q123" s="2" t="s">
        <v>1456</v>
      </c>
      <c r="R123" s="2"/>
      <c r="S123" t="str">
        <f>INT(C123/10)*10 &amp; "s"</f>
        <v>2020s</v>
      </c>
      <c r="U123" t="str">
        <f>IF(AA123&lt;&gt;"","Simulation","Experiment")</f>
        <v>Simulation</v>
      </c>
      <c r="V123" t="s">
        <v>1619</v>
      </c>
      <c r="W123" t="s">
        <v>1359</v>
      </c>
      <c r="Z123" t="str">
        <f t="shared" si="11"/>
        <v/>
      </c>
      <c r="AA123" t="s">
        <v>1507</v>
      </c>
      <c r="AB123" t="str">
        <f t="shared" si="10"/>
        <v>Local</v>
      </c>
      <c r="AC123" s="2" t="s">
        <v>1502</v>
      </c>
      <c r="AD123" s="2" t="s">
        <v>1503</v>
      </c>
      <c r="AE123" s="2" t="s">
        <v>1513</v>
      </c>
      <c r="AG123" s="2" t="s">
        <v>1508</v>
      </c>
      <c r="AH123" s="2" t="s">
        <v>1528</v>
      </c>
      <c r="AI123" s="2"/>
      <c r="AJ123" s="2" t="s">
        <v>505</v>
      </c>
      <c r="AK123" t="s">
        <v>506</v>
      </c>
      <c r="AL123" s="2" t="s">
        <v>29</v>
      </c>
      <c r="AM123" s="2" t="s">
        <v>24</v>
      </c>
      <c r="AN123" s="2" t="s">
        <v>30</v>
      </c>
      <c r="AO123" s="2" t="s">
        <v>25</v>
      </c>
      <c r="AP123" s="2" t="s">
        <v>507</v>
      </c>
    </row>
    <row r="124" spans="1:42" ht="135" x14ac:dyDescent="0.25">
      <c r="A124" s="2" t="s">
        <v>548</v>
      </c>
      <c r="B124" s="2" t="s">
        <v>549</v>
      </c>
      <c r="C124" s="2">
        <v>2020</v>
      </c>
      <c r="D124" s="2" t="s">
        <v>550</v>
      </c>
      <c r="E124" s="2" t="s">
        <v>261</v>
      </c>
      <c r="F124" s="2" t="s">
        <v>72</v>
      </c>
      <c r="G124" s="2" t="s">
        <v>551</v>
      </c>
      <c r="H124" s="2"/>
      <c r="I124" s="2"/>
      <c r="J124" s="2"/>
      <c r="K124" s="2">
        <v>7</v>
      </c>
      <c r="L124" s="2" t="s">
        <v>552</v>
      </c>
      <c r="M124" s="2" t="s">
        <v>553</v>
      </c>
      <c r="N124" s="4" t="s">
        <v>554</v>
      </c>
      <c r="O124" s="2"/>
      <c r="P124" s="2"/>
      <c r="Q124" s="2" t="s">
        <v>1456</v>
      </c>
      <c r="R124" s="2"/>
      <c r="S124" t="str">
        <f>INT(C124/10)*10 &amp; "s"</f>
        <v>2020s</v>
      </c>
      <c r="U124" t="s">
        <v>1618</v>
      </c>
      <c r="V124" t="s">
        <v>1613</v>
      </c>
      <c r="W124" t="s">
        <v>1359</v>
      </c>
      <c r="Z124" t="str">
        <f t="shared" si="11"/>
        <v/>
      </c>
      <c r="AA124" t="s">
        <v>1507</v>
      </c>
      <c r="AB124" t="str">
        <f t="shared" si="10"/>
        <v>Local</v>
      </c>
      <c r="AC124" s="2" t="s">
        <v>1502</v>
      </c>
      <c r="AD124" s="2" t="s">
        <v>1503</v>
      </c>
      <c r="AE124" s="2" t="s">
        <v>1564</v>
      </c>
      <c r="AG124" s="2" t="s">
        <v>1508</v>
      </c>
      <c r="AH124" s="2" t="s">
        <v>1565</v>
      </c>
      <c r="AI124" s="2" t="s">
        <v>555</v>
      </c>
      <c r="AJ124" s="2" t="s">
        <v>556</v>
      </c>
      <c r="AK124" t="s">
        <v>1700</v>
      </c>
      <c r="AL124" s="2" t="s">
        <v>23</v>
      </c>
      <c r="AM124" s="2" t="s">
        <v>24</v>
      </c>
      <c r="AN124" s="2" t="s">
        <v>30</v>
      </c>
      <c r="AO124" s="2" t="s">
        <v>25</v>
      </c>
      <c r="AP124" s="2" t="s">
        <v>558</v>
      </c>
    </row>
    <row r="125" spans="1:42" ht="135" x14ac:dyDescent="0.25">
      <c r="A125" s="2" t="s">
        <v>270</v>
      </c>
      <c r="B125" s="2" t="s">
        <v>271</v>
      </c>
      <c r="C125" s="2">
        <v>2021</v>
      </c>
      <c r="D125" s="2" t="s">
        <v>26</v>
      </c>
      <c r="E125" s="2" t="s">
        <v>127</v>
      </c>
      <c r="F125" s="2"/>
      <c r="G125" s="2" t="s">
        <v>272</v>
      </c>
      <c r="H125" s="2"/>
      <c r="I125" s="2"/>
      <c r="J125" s="2"/>
      <c r="K125" s="2">
        <v>0</v>
      </c>
      <c r="L125" s="2" t="s">
        <v>273</v>
      </c>
      <c r="M125" s="2" t="s">
        <v>274</v>
      </c>
      <c r="N125" s="4" t="s">
        <v>275</v>
      </c>
      <c r="O125" s="2"/>
      <c r="P125" s="2"/>
      <c r="Q125" s="2" t="s">
        <v>1465</v>
      </c>
      <c r="R125" s="2"/>
      <c r="S125" t="str">
        <f>INT(C125/10)*10 &amp; "s"</f>
        <v>2020s</v>
      </c>
      <c r="U125" t="str">
        <f>IF(AA125&lt;&gt;"","Simulation","Experiment")</f>
        <v>Simulation</v>
      </c>
      <c r="V125" t="s">
        <v>1612</v>
      </c>
      <c r="W125" t="s">
        <v>1685</v>
      </c>
      <c r="Z125" t="str">
        <f t="shared" si="11"/>
        <v/>
      </c>
      <c r="AA125" t="s">
        <v>1501</v>
      </c>
      <c r="AB125" t="str">
        <f t="shared" si="10"/>
        <v>Bulk</v>
      </c>
      <c r="AC125" s="2" t="s">
        <v>1523</v>
      </c>
      <c r="AD125" s="2" t="s">
        <v>1503</v>
      </c>
      <c r="AE125" s="2" t="s">
        <v>1571</v>
      </c>
      <c r="AG125" s="2" t="s">
        <v>1508</v>
      </c>
      <c r="AH125" s="2" t="s">
        <v>1572</v>
      </c>
      <c r="AI125" s="2"/>
      <c r="AJ125" s="2" t="s">
        <v>276</v>
      </c>
      <c r="AK125" t="s">
        <v>277</v>
      </c>
      <c r="AL125" s="2" t="s">
        <v>29</v>
      </c>
      <c r="AM125" s="2" t="s">
        <v>24</v>
      </c>
      <c r="AN125" s="2" t="s">
        <v>64</v>
      </c>
      <c r="AO125" s="2" t="s">
        <v>25</v>
      </c>
      <c r="AP125" s="2" t="s">
        <v>278</v>
      </c>
    </row>
    <row r="126" spans="1:42" ht="120" hidden="1" x14ac:dyDescent="0.25">
      <c r="A126" s="2" t="s">
        <v>1235</v>
      </c>
      <c r="B126" s="2" t="s">
        <v>1236</v>
      </c>
      <c r="C126" s="2">
        <v>2007</v>
      </c>
      <c r="D126" s="2" t="s">
        <v>128</v>
      </c>
      <c r="E126" s="2"/>
      <c r="F126" s="2"/>
      <c r="G126" s="2"/>
      <c r="H126" s="2"/>
      <c r="I126" s="2"/>
      <c r="J126" s="2"/>
      <c r="K126" s="2">
        <v>10</v>
      </c>
      <c r="L126" s="2"/>
      <c r="M126" s="2" t="s">
        <v>1237</v>
      </c>
      <c r="N126" s="7" t="s">
        <v>1238</v>
      </c>
      <c r="O126" s="2"/>
      <c r="P126" s="2" t="s">
        <v>1371</v>
      </c>
      <c r="Q126" s="2"/>
      <c r="R126" s="2"/>
      <c r="S126" s="2"/>
      <c r="T126" s="2"/>
      <c r="U126" s="2"/>
      <c r="V126" s="2"/>
      <c r="W126" s="2"/>
      <c r="X126" s="2"/>
      <c r="Y126" s="2"/>
      <c r="Z126" t="str">
        <f t="shared" si="11"/>
        <v/>
      </c>
      <c r="AA126" s="2"/>
      <c r="AB126" s="2"/>
      <c r="AC126" s="2"/>
      <c r="AD126" s="2"/>
      <c r="AE126" s="2"/>
      <c r="AF126" s="2"/>
      <c r="AG126" s="2"/>
      <c r="AH126" s="2"/>
      <c r="AI126" s="2"/>
      <c r="AJ126" s="2"/>
      <c r="AK126" t="s">
        <v>1239</v>
      </c>
      <c r="AL126" s="2" t="s">
        <v>29</v>
      </c>
      <c r="AM126" s="2" t="s">
        <v>24</v>
      </c>
      <c r="AN126" s="2"/>
      <c r="AO126" s="2" t="s">
        <v>25</v>
      </c>
      <c r="AP126" s="2" t="s">
        <v>1240</v>
      </c>
    </row>
    <row r="127" spans="1:42" ht="180" x14ac:dyDescent="0.25">
      <c r="A127" s="2" t="s">
        <v>301</v>
      </c>
      <c r="B127" s="2" t="s">
        <v>302</v>
      </c>
      <c r="C127" s="2">
        <v>2021</v>
      </c>
      <c r="D127" s="2" t="s">
        <v>26</v>
      </c>
      <c r="E127" s="2" t="s">
        <v>127</v>
      </c>
      <c r="F127" s="2"/>
      <c r="G127" s="2" t="s">
        <v>303</v>
      </c>
      <c r="H127" s="2"/>
      <c r="I127" s="2"/>
      <c r="J127" s="2"/>
      <c r="K127" s="2">
        <v>3</v>
      </c>
      <c r="L127" s="2" t="s">
        <v>304</v>
      </c>
      <c r="M127" s="12" t="s">
        <v>305</v>
      </c>
      <c r="N127" s="14" t="s">
        <v>1669</v>
      </c>
      <c r="O127" s="2"/>
      <c r="P127" s="2"/>
      <c r="Q127" s="2" t="s">
        <v>1456</v>
      </c>
      <c r="R127" s="2"/>
      <c r="S127" t="str">
        <f>INT(C127/10)*10 &amp; "s"</f>
        <v>2020s</v>
      </c>
      <c r="U127" t="str">
        <f>IF(AA127&lt;&gt;"","Simulation","Experiment")</f>
        <v>Simulation</v>
      </c>
      <c r="V127" t="s">
        <v>1619</v>
      </c>
      <c r="W127" t="s">
        <v>1359</v>
      </c>
      <c r="Z127" t="str">
        <f t="shared" si="11"/>
        <v/>
      </c>
      <c r="AA127" t="s">
        <v>1507</v>
      </c>
      <c r="AB127" t="str">
        <f>IF(AA127="1D","Bulk",
IF(AA127="x","","Local"))</f>
        <v>Local</v>
      </c>
      <c r="AC127" s="2" t="s">
        <v>1502</v>
      </c>
      <c r="AD127" s="2" t="s">
        <v>1544</v>
      </c>
      <c r="AG127" s="2" t="s">
        <v>1508</v>
      </c>
      <c r="AH127" s="2" t="s">
        <v>1573</v>
      </c>
      <c r="AI127" s="2"/>
      <c r="AJ127" s="2" t="s">
        <v>307</v>
      </c>
      <c r="AK127" t="s">
        <v>308</v>
      </c>
      <c r="AL127" s="2" t="s">
        <v>29</v>
      </c>
      <c r="AM127" s="2" t="s">
        <v>24</v>
      </c>
      <c r="AN127" s="2" t="s">
        <v>64</v>
      </c>
      <c r="AO127" s="2" t="s">
        <v>25</v>
      </c>
      <c r="AP127" s="2" t="s">
        <v>309</v>
      </c>
    </row>
    <row r="128" spans="1:42" ht="165" x14ac:dyDescent="0.25">
      <c r="A128" s="2" t="s">
        <v>375</v>
      </c>
      <c r="B128" s="2" t="s">
        <v>376</v>
      </c>
      <c r="C128" s="2">
        <v>2021</v>
      </c>
      <c r="D128" s="2" t="s">
        <v>45</v>
      </c>
      <c r="E128" s="2" t="s">
        <v>377</v>
      </c>
      <c r="F128" s="2"/>
      <c r="G128" s="2" t="s">
        <v>378</v>
      </c>
      <c r="H128" s="2"/>
      <c r="I128" s="2"/>
      <c r="J128" s="2"/>
      <c r="K128" s="2">
        <v>24</v>
      </c>
      <c r="L128" s="2" t="s">
        <v>379</v>
      </c>
      <c r="M128" s="2" t="s">
        <v>380</v>
      </c>
      <c r="N128" s="4" t="s">
        <v>381</v>
      </c>
      <c r="O128" s="2"/>
      <c r="P128" s="2"/>
      <c r="Q128" s="2" t="s">
        <v>1456</v>
      </c>
      <c r="R128" s="2"/>
      <c r="S128" t="str">
        <f>INT(C128/10)*10 &amp; "s"</f>
        <v>2020s</v>
      </c>
      <c r="U128" t="str">
        <f>IF(AA128&lt;&gt;"","Simulation","Experiment")</f>
        <v>Experiment</v>
      </c>
      <c r="Z128" t="str">
        <f t="shared" si="11"/>
        <v/>
      </c>
      <c r="AA128" s="2"/>
      <c r="AB128" t="str">
        <f>IF(AA128="1D","Bulk",
IF(AA128="x","","Local"))</f>
        <v>Local</v>
      </c>
      <c r="AC128" s="2"/>
      <c r="AD128" s="2"/>
      <c r="AE128" s="2"/>
      <c r="AF128" s="2"/>
      <c r="AG128" s="2"/>
      <c r="AH128" s="2"/>
      <c r="AI128" s="2" t="s">
        <v>382</v>
      </c>
      <c r="AJ128" s="2" t="s">
        <v>383</v>
      </c>
      <c r="AK128" t="s">
        <v>1670</v>
      </c>
      <c r="AL128" s="2" t="s">
        <v>23</v>
      </c>
      <c r="AM128" s="2" t="s">
        <v>24</v>
      </c>
      <c r="AN128" s="2" t="s">
        <v>86</v>
      </c>
      <c r="AO128" s="2" t="s">
        <v>25</v>
      </c>
      <c r="AP128" s="2" t="s">
        <v>385</v>
      </c>
    </row>
    <row r="129" spans="1:42" ht="120" x14ac:dyDescent="0.25">
      <c r="A129" s="2" t="s">
        <v>108</v>
      </c>
      <c r="B129" s="2" t="s">
        <v>109</v>
      </c>
      <c r="C129" s="2">
        <v>2022</v>
      </c>
      <c r="D129" s="2" t="s">
        <v>110</v>
      </c>
      <c r="E129" s="2" t="s">
        <v>111</v>
      </c>
      <c r="F129" s="2"/>
      <c r="G129" s="2"/>
      <c r="H129" s="2">
        <v>347</v>
      </c>
      <c r="I129" s="2">
        <v>353</v>
      </c>
      <c r="J129" s="2">
        <v>6</v>
      </c>
      <c r="K129" s="2">
        <v>1</v>
      </c>
      <c r="L129" s="2" t="s">
        <v>112</v>
      </c>
      <c r="M129" s="12" t="s">
        <v>113</v>
      </c>
      <c r="N129" s="14" t="s">
        <v>114</v>
      </c>
      <c r="O129" s="2"/>
      <c r="P129" s="2"/>
      <c r="Q129" s="2" t="s">
        <v>1645</v>
      </c>
      <c r="R129" s="2"/>
      <c r="S129" t="str">
        <f>INT(C129/10)*10 &amp; "s"</f>
        <v>2020s</v>
      </c>
      <c r="U129" t="s">
        <v>1618</v>
      </c>
      <c r="V129" t="s">
        <v>1613</v>
      </c>
      <c r="W129" t="s">
        <v>1359</v>
      </c>
      <c r="Z129" t="str">
        <f t="shared" si="11"/>
        <v/>
      </c>
      <c r="AA129" t="s">
        <v>1507</v>
      </c>
      <c r="AB129" t="str">
        <f>IF(AA129="1D","Bulk",
IF(AA129="x","","Local"))</f>
        <v>Local</v>
      </c>
      <c r="AC129" s="2" t="s">
        <v>1502</v>
      </c>
      <c r="AD129" s="2" t="s">
        <v>1544</v>
      </c>
      <c r="AE129" s="2" t="s">
        <v>1579</v>
      </c>
      <c r="AF129" s="2" t="s">
        <v>1580</v>
      </c>
      <c r="AG129" s="2" t="s">
        <v>1508</v>
      </c>
      <c r="AH129" s="2" t="s">
        <v>1581</v>
      </c>
      <c r="AI129" s="2" t="s">
        <v>115</v>
      </c>
      <c r="AJ129" s="2"/>
      <c r="AK129" t="s">
        <v>116</v>
      </c>
      <c r="AL129" s="2" t="s">
        <v>29</v>
      </c>
      <c r="AM129" s="2" t="s">
        <v>24</v>
      </c>
      <c r="AN129" s="2" t="s">
        <v>64</v>
      </c>
      <c r="AO129" s="2" t="s">
        <v>25</v>
      </c>
      <c r="AP129" s="2" t="s">
        <v>117</v>
      </c>
    </row>
    <row r="130" spans="1:42" ht="180" x14ac:dyDescent="0.25">
      <c r="A130" s="2" t="s">
        <v>139</v>
      </c>
      <c r="B130" s="2" t="s">
        <v>140</v>
      </c>
      <c r="C130" s="2">
        <v>2022</v>
      </c>
      <c r="D130" s="2" t="s">
        <v>45</v>
      </c>
      <c r="E130" s="2" t="s">
        <v>141</v>
      </c>
      <c r="F130" s="2"/>
      <c r="G130" s="2" t="s">
        <v>142</v>
      </c>
      <c r="H130" s="2"/>
      <c r="I130" s="2"/>
      <c r="J130" s="2"/>
      <c r="K130" s="2">
        <v>5</v>
      </c>
      <c r="L130" s="2" t="s">
        <v>143</v>
      </c>
      <c r="M130" s="12" t="s">
        <v>144</v>
      </c>
      <c r="N130" s="14" t="s">
        <v>145</v>
      </c>
      <c r="O130" s="2"/>
      <c r="P130" s="2"/>
      <c r="Q130" s="2" t="s">
        <v>1459</v>
      </c>
      <c r="R130" s="2"/>
      <c r="S130" t="str">
        <f>INT(C130/10)*10 &amp; "s"</f>
        <v>2020s</v>
      </c>
      <c r="U130" t="s">
        <v>1618</v>
      </c>
      <c r="V130" t="s">
        <v>1613</v>
      </c>
      <c r="W130" t="s">
        <v>1359</v>
      </c>
      <c r="Z130" t="str">
        <f t="shared" si="11"/>
        <v/>
      </c>
      <c r="AA130" t="s">
        <v>1574</v>
      </c>
      <c r="AB130" t="str">
        <f>IF(AA130="1D","Bulk",
IF(AA130="x","","Local"))</f>
        <v>Local</v>
      </c>
      <c r="AC130" s="2" t="s">
        <v>1502</v>
      </c>
      <c r="AD130" s="2" t="s">
        <v>1503</v>
      </c>
      <c r="AE130" s="2" t="s">
        <v>1575</v>
      </c>
      <c r="AF130" s="2" t="s">
        <v>1576</v>
      </c>
      <c r="AG130" s="2" t="s">
        <v>1577</v>
      </c>
      <c r="AH130" s="2" t="s">
        <v>1578</v>
      </c>
      <c r="AI130" s="2" t="s">
        <v>146</v>
      </c>
      <c r="AJ130" s="2" t="s">
        <v>147</v>
      </c>
      <c r="AK130" t="s">
        <v>1701</v>
      </c>
      <c r="AL130" s="2" t="s">
        <v>23</v>
      </c>
      <c r="AM130" s="2" t="s">
        <v>24</v>
      </c>
      <c r="AN130" s="2" t="s">
        <v>67</v>
      </c>
      <c r="AO130" s="2" t="s">
        <v>25</v>
      </c>
      <c r="AP130" s="2" t="s">
        <v>149</v>
      </c>
    </row>
    <row r="131" spans="1:42" ht="150" x14ac:dyDescent="0.25">
      <c r="A131" s="2" t="s">
        <v>200</v>
      </c>
      <c r="B131" s="2" t="s">
        <v>201</v>
      </c>
      <c r="C131" s="2">
        <v>2022</v>
      </c>
      <c r="D131" s="2" t="s">
        <v>128</v>
      </c>
      <c r="E131" s="2"/>
      <c r="F131" s="2"/>
      <c r="G131" s="2"/>
      <c r="H131" s="2">
        <v>230</v>
      </c>
      <c r="I131" s="2">
        <v>239</v>
      </c>
      <c r="J131" s="2">
        <v>9</v>
      </c>
      <c r="K131" s="2">
        <v>0</v>
      </c>
      <c r="L131" s="2"/>
      <c r="M131" s="2" t="s">
        <v>202</v>
      </c>
      <c r="N131" s="10" t="s">
        <v>203</v>
      </c>
      <c r="O131" s="2"/>
      <c r="P131" s="2"/>
      <c r="Q131" s="2" t="s">
        <v>1463</v>
      </c>
      <c r="R131" s="2"/>
      <c r="S131" t="str">
        <f>INT(C131/10)*10 &amp; "s"</f>
        <v>2020s</v>
      </c>
      <c r="U131" t="s">
        <v>1618</v>
      </c>
      <c r="V131" t="s">
        <v>1613</v>
      </c>
      <c r="W131" t="s">
        <v>1685</v>
      </c>
      <c r="Z131" t="str">
        <f t="shared" si="11"/>
        <v/>
      </c>
      <c r="AA131" t="s">
        <v>1515</v>
      </c>
      <c r="AB131" t="str">
        <f>IF(AA131="1D","Bulk",
IF(AA131="x","","Local"))</f>
        <v>Local</v>
      </c>
      <c r="AC131" s="2" t="s">
        <v>1523</v>
      </c>
      <c r="AD131" s="2" t="s">
        <v>1503</v>
      </c>
      <c r="AE131" s="2" t="s">
        <v>1513</v>
      </c>
      <c r="AF131" s="2"/>
      <c r="AG131" s="2" t="s">
        <v>1508</v>
      </c>
      <c r="AH131" s="2" t="s">
        <v>1560</v>
      </c>
      <c r="AI131" s="2"/>
      <c r="AJ131" s="2" t="s">
        <v>204</v>
      </c>
      <c r="AK131" t="s">
        <v>205</v>
      </c>
      <c r="AL131" s="2" t="s">
        <v>29</v>
      </c>
      <c r="AM131" s="2" t="s">
        <v>24</v>
      </c>
      <c r="AN131" s="2"/>
      <c r="AO131" s="2" t="s">
        <v>25</v>
      </c>
      <c r="AP131" s="2" t="s">
        <v>206</v>
      </c>
    </row>
    <row r="132" spans="1:42" s="18" customFormat="1" ht="135" hidden="1" x14ac:dyDescent="0.25">
      <c r="A132" s="2" t="s">
        <v>1304</v>
      </c>
      <c r="B132" s="2" t="s">
        <v>1305</v>
      </c>
      <c r="C132" s="2">
        <v>2006</v>
      </c>
      <c r="D132" s="2" t="s">
        <v>120</v>
      </c>
      <c r="E132" s="2" t="s">
        <v>1306</v>
      </c>
      <c r="F132" s="2"/>
      <c r="G132" s="2"/>
      <c r="H132" s="2">
        <v>485</v>
      </c>
      <c r="I132" s="2">
        <v>497</v>
      </c>
      <c r="J132" s="2">
        <v>12</v>
      </c>
      <c r="K132" s="2">
        <v>42</v>
      </c>
      <c r="L132" s="2"/>
      <c r="M132" s="2" t="s">
        <v>1307</v>
      </c>
      <c r="N132" s="7" t="s">
        <v>1308</v>
      </c>
      <c r="O132" s="2"/>
      <c r="P132" s="2" t="s">
        <v>1371</v>
      </c>
      <c r="Q132" s="2"/>
      <c r="R132" s="2"/>
      <c r="S132" s="2"/>
      <c r="T132" s="2"/>
      <c r="U132" s="2"/>
      <c r="V132" s="2"/>
      <c r="W132" s="2"/>
      <c r="X132" s="2"/>
      <c r="Y132" s="2"/>
      <c r="Z132" t="str">
        <f t="shared" si="11"/>
        <v/>
      </c>
      <c r="AA132" s="2"/>
      <c r="AB132" s="2"/>
      <c r="AC132" s="2"/>
      <c r="AD132" s="2"/>
      <c r="AE132" s="2"/>
      <c r="AF132" s="2"/>
      <c r="AG132" s="2"/>
      <c r="AH132" s="2"/>
      <c r="AI132" s="2"/>
      <c r="AJ132" s="2" t="s">
        <v>1309</v>
      </c>
      <c r="AK132" t="s">
        <v>1310</v>
      </c>
      <c r="AL132" s="2" t="s">
        <v>29</v>
      </c>
      <c r="AM132" s="2" t="s">
        <v>24</v>
      </c>
      <c r="AN132" s="2"/>
      <c r="AO132" s="2" t="s">
        <v>25</v>
      </c>
      <c r="AP132" s="2" t="s">
        <v>1311</v>
      </c>
    </row>
    <row r="133" spans="1:42" ht="240" hidden="1" x14ac:dyDescent="0.25">
      <c r="A133" s="11" t="s">
        <v>1337</v>
      </c>
      <c r="B133" s="11" t="s">
        <v>1338</v>
      </c>
      <c r="C133" s="11">
        <v>2006</v>
      </c>
      <c r="D133" s="2" t="s">
        <v>1339</v>
      </c>
      <c r="E133" s="2" t="s">
        <v>731</v>
      </c>
      <c r="F133" s="2" t="s">
        <v>83</v>
      </c>
      <c r="G133" s="2"/>
      <c r="H133" s="2">
        <v>2340</v>
      </c>
      <c r="I133" s="2">
        <v>2349</v>
      </c>
      <c r="J133" s="2">
        <v>9</v>
      </c>
      <c r="K133" s="2">
        <v>23</v>
      </c>
      <c r="L133" s="2" t="s">
        <v>1340</v>
      </c>
      <c r="M133" s="16" t="s">
        <v>1341</v>
      </c>
      <c r="N133" s="17" t="s">
        <v>1342</v>
      </c>
      <c r="O133" s="2"/>
      <c r="P133" s="2" t="s">
        <v>1371</v>
      </c>
      <c r="Q133" s="2"/>
      <c r="R133" s="2"/>
      <c r="S133" s="2"/>
      <c r="T133" s="2"/>
      <c r="U133" s="2"/>
      <c r="V133" s="2"/>
      <c r="W133" s="2"/>
      <c r="X133" s="2"/>
      <c r="Y133" s="2"/>
      <c r="Z133" t="str">
        <f t="shared" si="11"/>
        <v/>
      </c>
      <c r="AA133" s="2"/>
      <c r="AB133" s="2"/>
      <c r="AC133" s="2"/>
      <c r="AD133" s="2"/>
      <c r="AE133" s="2"/>
      <c r="AF133" s="2"/>
      <c r="AG133" s="2"/>
      <c r="AH133" s="2"/>
      <c r="AI133" s="2" t="s">
        <v>1343</v>
      </c>
      <c r="AJ133" s="2" t="s">
        <v>1344</v>
      </c>
      <c r="AK133" t="s">
        <v>1345</v>
      </c>
      <c r="AL133" s="2" t="s">
        <v>23</v>
      </c>
      <c r="AM133" s="2" t="s">
        <v>24</v>
      </c>
      <c r="AN133" s="2"/>
      <c r="AO133" s="2" t="s">
        <v>25</v>
      </c>
      <c r="AP133" s="2" t="s">
        <v>1346</v>
      </c>
    </row>
    <row r="134" spans="1:42" ht="150" x14ac:dyDescent="0.25">
      <c r="A134" s="2" t="s">
        <v>226</v>
      </c>
      <c r="B134" s="2" t="s">
        <v>227</v>
      </c>
      <c r="C134" s="2">
        <v>2022</v>
      </c>
      <c r="D134" s="2" t="s">
        <v>228</v>
      </c>
      <c r="E134" s="2" t="s">
        <v>229</v>
      </c>
      <c r="F134" s="2" t="s">
        <v>230</v>
      </c>
      <c r="G134" s="2" t="s">
        <v>231</v>
      </c>
      <c r="H134" s="2"/>
      <c r="I134" s="2"/>
      <c r="J134" s="2"/>
      <c r="K134" s="2">
        <v>0</v>
      </c>
      <c r="L134" s="2" t="s">
        <v>232</v>
      </c>
      <c r="M134" s="2" t="s">
        <v>233</v>
      </c>
      <c r="N134" s="10" t="s">
        <v>234</v>
      </c>
      <c r="O134" s="2"/>
      <c r="P134" s="2"/>
      <c r="Q134" s="2" t="s">
        <v>1463</v>
      </c>
      <c r="R134" s="2"/>
      <c r="S134" t="str">
        <f>INT(C134/10)*10 &amp; "s"</f>
        <v>2020s</v>
      </c>
      <c r="U134" t="s">
        <v>429</v>
      </c>
      <c r="Z134" t="str">
        <f t="shared" si="11"/>
        <v/>
      </c>
      <c r="AA134" s="2" t="s">
        <v>1371</v>
      </c>
      <c r="AB134" t="str">
        <f>IF(AA134="1D","Bulk",
IF(AA134="x","","Local"))</f>
        <v/>
      </c>
      <c r="AC134" s="2"/>
      <c r="AD134" s="2"/>
      <c r="AE134" s="2"/>
      <c r="AF134" s="2"/>
      <c r="AG134" s="2"/>
      <c r="AH134" s="2"/>
      <c r="AI134" s="2"/>
      <c r="AJ134" s="2"/>
      <c r="AK134" t="s">
        <v>235</v>
      </c>
      <c r="AL134" s="2" t="s">
        <v>29</v>
      </c>
      <c r="AM134" s="2" t="s">
        <v>24</v>
      </c>
      <c r="AN134" s="2" t="s">
        <v>64</v>
      </c>
      <c r="AO134" s="2" t="s">
        <v>25</v>
      </c>
      <c r="AP134" s="2" t="s">
        <v>236</v>
      </c>
    </row>
    <row r="135" spans="1:42" ht="225" x14ac:dyDescent="0.25">
      <c r="A135" s="2" t="s">
        <v>310</v>
      </c>
      <c r="B135" s="2" t="s">
        <v>311</v>
      </c>
      <c r="C135" s="2">
        <v>2022</v>
      </c>
      <c r="D135" s="2" t="s">
        <v>45</v>
      </c>
      <c r="E135" s="2" t="s">
        <v>312</v>
      </c>
      <c r="F135" s="2"/>
      <c r="G135" s="2" t="s">
        <v>313</v>
      </c>
      <c r="H135" s="2"/>
      <c r="I135" s="2"/>
      <c r="J135" s="2"/>
      <c r="K135" s="2">
        <v>12</v>
      </c>
      <c r="L135" s="2" t="s">
        <v>314</v>
      </c>
      <c r="M135" s="2" t="s">
        <v>315</v>
      </c>
      <c r="N135" s="4" t="s">
        <v>316</v>
      </c>
      <c r="O135" s="2"/>
      <c r="P135" s="2"/>
      <c r="Q135" s="2" t="s">
        <v>1645</v>
      </c>
      <c r="R135" s="2"/>
      <c r="S135" t="str">
        <f>INT(C135/10)*10 &amp; "s"</f>
        <v>2020s</v>
      </c>
      <c r="U135" t="s">
        <v>1618</v>
      </c>
      <c r="V135" t="s">
        <v>1613</v>
      </c>
      <c r="W135" t="s">
        <v>1359</v>
      </c>
      <c r="Z135" t="str">
        <f t="shared" si="11"/>
        <v/>
      </c>
      <c r="AA135" s="2" t="s">
        <v>1371</v>
      </c>
      <c r="AB135" t="str">
        <f>IF(AA135="1D","Bulk",
IF(AA135="x","","Local"))</f>
        <v/>
      </c>
      <c r="AC135" s="2"/>
      <c r="AD135" s="2"/>
      <c r="AE135" s="2"/>
      <c r="AF135" s="2"/>
      <c r="AG135" s="2"/>
      <c r="AH135" s="2"/>
      <c r="AI135" s="2" t="s">
        <v>317</v>
      </c>
      <c r="AJ135" s="2" t="s">
        <v>318</v>
      </c>
      <c r="AK135" t="s">
        <v>319</v>
      </c>
      <c r="AL135" s="2" t="s">
        <v>23</v>
      </c>
      <c r="AM135" s="2" t="s">
        <v>24</v>
      </c>
      <c r="AN135" s="2"/>
      <c r="AO135" s="2" t="s">
        <v>25</v>
      </c>
      <c r="AP135" s="2" t="s">
        <v>320</v>
      </c>
    </row>
    <row r="136" spans="1:42" ht="105" hidden="1" x14ac:dyDescent="0.25">
      <c r="A136" s="11" t="s">
        <v>1263</v>
      </c>
      <c r="B136" s="11" t="s">
        <v>1264</v>
      </c>
      <c r="C136" s="11">
        <v>2005</v>
      </c>
      <c r="D136" s="2" t="s">
        <v>1256</v>
      </c>
      <c r="E136" s="2"/>
      <c r="F136" s="2"/>
      <c r="G136" s="2"/>
      <c r="H136" s="2">
        <v>1107</v>
      </c>
      <c r="I136" s="2">
        <v>1114</v>
      </c>
      <c r="J136" s="2">
        <v>7</v>
      </c>
      <c r="K136" s="2">
        <v>19</v>
      </c>
      <c r="L136" s="2"/>
      <c r="M136" s="16" t="s">
        <v>1265</v>
      </c>
      <c r="N136" s="17" t="s">
        <v>1266</v>
      </c>
      <c r="O136" s="11"/>
      <c r="P136" s="11" t="s">
        <v>1371</v>
      </c>
      <c r="Q136" s="11"/>
      <c r="R136" s="11"/>
      <c r="S136" s="11"/>
      <c r="T136" s="11"/>
      <c r="U136" s="11"/>
      <c r="V136" s="11"/>
      <c r="W136" s="11"/>
      <c r="X136" s="11"/>
      <c r="Y136" s="11"/>
      <c r="Z136" t="str">
        <f t="shared" si="11"/>
        <v/>
      </c>
      <c r="AA136" s="11"/>
      <c r="AB136" s="11"/>
      <c r="AC136" s="11"/>
      <c r="AD136" s="11"/>
      <c r="AE136" s="11"/>
      <c r="AF136" s="11"/>
      <c r="AG136" s="11"/>
      <c r="AH136" s="11"/>
      <c r="AI136" s="11"/>
      <c r="AJ136" s="11" t="s">
        <v>1267</v>
      </c>
      <c r="AK136" s="18" t="s">
        <v>1268</v>
      </c>
      <c r="AL136" s="11" t="s">
        <v>29</v>
      </c>
      <c r="AM136" s="11" t="s">
        <v>24</v>
      </c>
      <c r="AN136" s="11"/>
      <c r="AO136" s="11" t="s">
        <v>25</v>
      </c>
      <c r="AP136" s="11" t="s">
        <v>1269</v>
      </c>
    </row>
    <row r="137" spans="1:42" ht="150" x14ac:dyDescent="0.25">
      <c r="A137" s="2" t="s">
        <v>322</v>
      </c>
      <c r="B137" s="2" t="s">
        <v>323</v>
      </c>
      <c r="C137" s="2">
        <v>2022</v>
      </c>
      <c r="D137" s="2" t="s">
        <v>324</v>
      </c>
      <c r="E137" s="2" t="s">
        <v>325</v>
      </c>
      <c r="F137" s="2" t="s">
        <v>22</v>
      </c>
      <c r="G137" s="2"/>
      <c r="H137" s="2">
        <v>967</v>
      </c>
      <c r="I137" s="2">
        <v>1021</v>
      </c>
      <c r="J137" s="2">
        <v>54</v>
      </c>
      <c r="K137" s="2">
        <v>1</v>
      </c>
      <c r="L137" s="2" t="s">
        <v>326</v>
      </c>
      <c r="M137" s="2" t="s">
        <v>327</v>
      </c>
      <c r="N137" s="4" t="s">
        <v>328</v>
      </c>
      <c r="O137" s="2"/>
      <c r="P137" s="2"/>
      <c r="Q137" s="2" t="s">
        <v>1456</v>
      </c>
      <c r="R137" s="2"/>
      <c r="S137" t="str">
        <f>INT(C137/10)*10 &amp; "s"</f>
        <v>2020s</v>
      </c>
      <c r="U137" t="str">
        <f>IF(AA137&lt;&gt;"","Simulation","Experiment")</f>
        <v>Experiment</v>
      </c>
      <c r="Z137" t="str">
        <f t="shared" si="11"/>
        <v/>
      </c>
      <c r="AA137" s="2"/>
      <c r="AB137" t="str">
        <f>IF(AA137="1D","Bulk",
IF(AA137="x","","Local"))</f>
        <v>Local</v>
      </c>
      <c r="AC137" s="2"/>
      <c r="AD137" s="2"/>
      <c r="AE137" s="2"/>
      <c r="AF137" s="2"/>
      <c r="AG137" s="2"/>
      <c r="AH137" s="2"/>
      <c r="AI137" s="2" t="s">
        <v>329</v>
      </c>
      <c r="AJ137" s="2" t="s">
        <v>330</v>
      </c>
      <c r="AK137" t="s">
        <v>331</v>
      </c>
      <c r="AL137" s="2" t="s">
        <v>23</v>
      </c>
      <c r="AM137" s="2" t="s">
        <v>24</v>
      </c>
      <c r="AN137" s="2"/>
      <c r="AO137" s="2" t="s">
        <v>25</v>
      </c>
      <c r="AP137" s="2" t="s">
        <v>332</v>
      </c>
    </row>
    <row r="138" spans="1:42" ht="180" x14ac:dyDescent="0.25">
      <c r="A138" s="2" t="s">
        <v>461</v>
      </c>
      <c r="B138" s="2" t="s">
        <v>462</v>
      </c>
      <c r="C138" s="2">
        <v>2022</v>
      </c>
      <c r="D138" s="2" t="s">
        <v>397</v>
      </c>
      <c r="E138" s="2" t="s">
        <v>88</v>
      </c>
      <c r="F138" s="2" t="s">
        <v>87</v>
      </c>
      <c r="G138" s="2"/>
      <c r="H138" s="2">
        <v>1611</v>
      </c>
      <c r="I138" s="2">
        <v>1627</v>
      </c>
      <c r="J138" s="2">
        <v>16</v>
      </c>
      <c r="K138" s="2">
        <v>7</v>
      </c>
      <c r="L138" s="2" t="s">
        <v>463</v>
      </c>
      <c r="M138" s="2" t="s">
        <v>464</v>
      </c>
      <c r="N138" s="4" t="s">
        <v>465</v>
      </c>
      <c r="O138" s="2"/>
      <c r="P138" s="2"/>
      <c r="Q138" s="2" t="s">
        <v>1459</v>
      </c>
      <c r="R138" s="2"/>
      <c r="S138" t="str">
        <f>INT(C138/10)*10 &amp; "s"</f>
        <v>2020s</v>
      </c>
      <c r="U138" t="s">
        <v>1601</v>
      </c>
      <c r="V138" t="s">
        <v>1612</v>
      </c>
      <c r="W138" t="s">
        <v>1359</v>
      </c>
      <c r="Z138" t="str">
        <f t="shared" si="11"/>
        <v/>
      </c>
      <c r="AA138" s="2"/>
      <c r="AB138" t="str">
        <f>IF(AA138="1D","Bulk",
IF(AA138="x","","Local"))</f>
        <v>Local</v>
      </c>
      <c r="AC138" s="2"/>
      <c r="AD138" s="2"/>
      <c r="AE138" s="2"/>
      <c r="AF138" s="2"/>
      <c r="AG138" s="2"/>
      <c r="AH138" s="2"/>
      <c r="AI138" s="2" t="s">
        <v>466</v>
      </c>
      <c r="AJ138" s="2" t="s">
        <v>467</v>
      </c>
      <c r="AK138" t="s">
        <v>1702</v>
      </c>
      <c r="AL138" s="2" t="s">
        <v>23</v>
      </c>
      <c r="AM138" s="2" t="s">
        <v>24</v>
      </c>
      <c r="AN138" s="2"/>
      <c r="AO138" s="2" t="s">
        <v>25</v>
      </c>
      <c r="AP138" s="2" t="s">
        <v>469</v>
      </c>
    </row>
    <row r="139" spans="1:42" ht="135" x14ac:dyDescent="0.25">
      <c r="A139" s="2" t="s">
        <v>518</v>
      </c>
      <c r="B139" s="2" t="s">
        <v>519</v>
      </c>
      <c r="C139" s="2">
        <v>2022</v>
      </c>
      <c r="D139" s="2" t="s">
        <v>128</v>
      </c>
      <c r="E139" s="2"/>
      <c r="F139" s="2"/>
      <c r="G139" s="2"/>
      <c r="H139" s="2">
        <v>240</v>
      </c>
      <c r="I139" s="2">
        <v>248</v>
      </c>
      <c r="J139" s="2">
        <v>8</v>
      </c>
      <c r="K139" s="2">
        <v>0</v>
      </c>
      <c r="L139" s="2"/>
      <c r="M139" s="2" t="s">
        <v>520</v>
      </c>
      <c r="N139" s="4" t="s">
        <v>521</v>
      </c>
      <c r="O139" s="2"/>
      <c r="P139" s="2"/>
      <c r="Q139" s="2" t="s">
        <v>1464</v>
      </c>
      <c r="R139" s="2"/>
      <c r="S139" t="str">
        <f>INT(C139/10)*10 &amp; "s"</f>
        <v>2020s</v>
      </c>
      <c r="U139" t="s">
        <v>1601</v>
      </c>
      <c r="V139" t="s">
        <v>1619</v>
      </c>
      <c r="W139" t="s">
        <v>1685</v>
      </c>
      <c r="Z139" t="str">
        <f t="shared" si="11"/>
        <v/>
      </c>
      <c r="AA139" s="2"/>
      <c r="AB139" t="str">
        <f>IF(AA139="1D","Bulk",
IF(AA139="x","","Local"))</f>
        <v>Local</v>
      </c>
      <c r="AC139" s="2"/>
      <c r="AD139" s="2"/>
      <c r="AE139" s="2"/>
      <c r="AF139" s="2"/>
      <c r="AG139" s="2"/>
      <c r="AH139" s="2"/>
      <c r="AI139" s="2"/>
      <c r="AJ139" s="2" t="s">
        <v>522</v>
      </c>
      <c r="AK139" t="s">
        <v>1703</v>
      </c>
      <c r="AL139" s="2" t="s">
        <v>29</v>
      </c>
      <c r="AM139" s="2" t="s">
        <v>24</v>
      </c>
      <c r="AN139" s="2"/>
      <c r="AO139" s="2" t="s">
        <v>25</v>
      </c>
      <c r="AP139" s="2" t="s">
        <v>524</v>
      </c>
    </row>
    <row r="140" spans="1:42" ht="135" hidden="1" x14ac:dyDescent="0.25">
      <c r="A140" s="2" t="s">
        <v>1270</v>
      </c>
      <c r="B140" s="2" t="s">
        <v>1294</v>
      </c>
      <c r="C140" s="2">
        <v>2002</v>
      </c>
      <c r="D140" s="2" t="s">
        <v>324</v>
      </c>
      <c r="E140" s="2" t="s">
        <v>337</v>
      </c>
      <c r="F140" s="2" t="s">
        <v>28</v>
      </c>
      <c r="G140" s="2"/>
      <c r="H140" s="2">
        <v>53</v>
      </c>
      <c r="I140" s="2">
        <v>91</v>
      </c>
      <c r="J140" s="2">
        <v>38</v>
      </c>
      <c r="K140" s="2">
        <v>9</v>
      </c>
      <c r="L140" s="2" t="s">
        <v>1271</v>
      </c>
      <c r="M140" s="2" t="s">
        <v>1295</v>
      </c>
      <c r="N140" s="11" t="s">
        <v>1296</v>
      </c>
      <c r="O140" s="2"/>
      <c r="P140" s="2" t="s">
        <v>1371</v>
      </c>
      <c r="Q140" s="2"/>
      <c r="R140" s="2"/>
      <c r="S140" s="2"/>
      <c r="T140" s="2"/>
      <c r="U140" s="2"/>
      <c r="V140" s="2"/>
      <c r="W140" s="2"/>
      <c r="X140" s="2"/>
      <c r="Y140" s="2"/>
      <c r="Z140" t="str">
        <f t="shared" si="11"/>
        <v/>
      </c>
      <c r="AA140" s="2"/>
      <c r="AB140" s="2"/>
      <c r="AC140" s="2"/>
      <c r="AD140" s="2"/>
      <c r="AE140" s="2"/>
      <c r="AF140" s="2"/>
      <c r="AG140" s="2"/>
      <c r="AH140" s="2"/>
      <c r="AI140" s="2"/>
      <c r="AJ140" s="2"/>
      <c r="AL140" s="2" t="s">
        <v>23</v>
      </c>
      <c r="AM140" s="2" t="s">
        <v>24</v>
      </c>
      <c r="AN140" s="2"/>
      <c r="AO140" s="2" t="s">
        <v>25</v>
      </c>
      <c r="AP140" s="2" t="s">
        <v>1297</v>
      </c>
    </row>
    <row r="141" spans="1:42" ht="75" x14ac:dyDescent="0.25">
      <c r="A141" t="s">
        <v>1435</v>
      </c>
      <c r="B141" s="4" t="s">
        <v>1436</v>
      </c>
      <c r="C141" s="28">
        <v>2023</v>
      </c>
      <c r="D141" s="2" t="s">
        <v>1437</v>
      </c>
      <c r="E141">
        <v>2023</v>
      </c>
      <c r="F141" s="27"/>
      <c r="G141" s="27"/>
      <c r="H141" s="27"/>
      <c r="I141" s="27"/>
      <c r="J141" s="27"/>
      <c r="K141" s="27"/>
      <c r="L141" t="s">
        <v>1451</v>
      </c>
      <c r="M141" s="27"/>
      <c r="N141" s="2" t="s">
        <v>1438</v>
      </c>
      <c r="O141" s="27"/>
      <c r="P141" s="27"/>
      <c r="Q141" s="28" t="s">
        <v>1456</v>
      </c>
      <c r="R141" s="28"/>
      <c r="S141" t="str">
        <f>INT(C141/10)*10 &amp; "s"</f>
        <v>2020s</v>
      </c>
      <c r="U141" t="str">
        <f>IF(AA141&lt;&gt;"","Simulation","Experiment")</f>
        <v>Experiment</v>
      </c>
      <c r="Z141" t="str">
        <f t="shared" si="11"/>
        <v/>
      </c>
      <c r="AA141" s="28"/>
      <c r="AB141" t="str">
        <f>IF(AA141="1D","Bulk",
IF(AA141="x","","Local"))</f>
        <v>Local</v>
      </c>
      <c r="AC141" s="28"/>
      <c r="AD141" s="28"/>
      <c r="AE141" s="28"/>
      <c r="AF141" s="28"/>
      <c r="AG141" s="28"/>
      <c r="AH141" s="28"/>
      <c r="AI141" s="27"/>
      <c r="AJ141" s="27"/>
      <c r="AK141" s="27"/>
      <c r="AL141" s="27"/>
      <c r="AM141" s="27"/>
      <c r="AN141" s="27"/>
      <c r="AO141" s="27"/>
      <c r="AP141" s="27"/>
    </row>
    <row r="142" spans="1:42" ht="165" x14ac:dyDescent="0.25">
      <c r="A142" s="2" t="s">
        <v>129</v>
      </c>
      <c r="B142" s="2" t="s">
        <v>130</v>
      </c>
      <c r="C142" s="2">
        <v>2023</v>
      </c>
      <c r="D142" s="2" t="s">
        <v>131</v>
      </c>
      <c r="E142" s="2"/>
      <c r="F142" s="2"/>
      <c r="G142" s="2"/>
      <c r="H142" s="2">
        <v>1385</v>
      </c>
      <c r="I142" s="2">
        <v>1393</v>
      </c>
      <c r="J142" s="2">
        <v>8</v>
      </c>
      <c r="K142" s="2">
        <v>0</v>
      </c>
      <c r="L142" s="2" t="s">
        <v>132</v>
      </c>
      <c r="M142" s="2" t="s">
        <v>133</v>
      </c>
      <c r="N142" s="8" t="s">
        <v>1671</v>
      </c>
      <c r="O142" s="2" t="s">
        <v>1415</v>
      </c>
      <c r="P142" s="2"/>
      <c r="Q142" s="2" t="s">
        <v>1645</v>
      </c>
      <c r="R142" s="2"/>
      <c r="S142" t="str">
        <f>INT(C142/10)*10 &amp; "s"</f>
        <v>2020s</v>
      </c>
      <c r="U142" t="str">
        <f>IF(AA142&lt;&gt;"","Simulation","Experiment")</f>
        <v>Simulation</v>
      </c>
      <c r="V142" t="s">
        <v>1619</v>
      </c>
      <c r="W142" t="s">
        <v>1359</v>
      </c>
      <c r="Z142" t="str">
        <f t="shared" si="11"/>
        <v/>
      </c>
      <c r="AA142" t="s">
        <v>1501</v>
      </c>
      <c r="AB142" t="str">
        <f>IF(AA142="1D","Bulk",
IF(AA142="x","","Local"))</f>
        <v>Bulk</v>
      </c>
      <c r="AC142" s="2" t="s">
        <v>1502</v>
      </c>
      <c r="AD142" s="2" t="s">
        <v>1503</v>
      </c>
      <c r="AE142" s="2" t="s">
        <v>1541</v>
      </c>
      <c r="AG142" s="2" t="s">
        <v>1508</v>
      </c>
      <c r="AH142" s="2" t="s">
        <v>1583</v>
      </c>
      <c r="AI142" s="2" t="s">
        <v>135</v>
      </c>
      <c r="AJ142" s="2" t="s">
        <v>136</v>
      </c>
      <c r="AK142" t="s">
        <v>137</v>
      </c>
      <c r="AL142" s="2" t="s">
        <v>29</v>
      </c>
      <c r="AM142" s="2" t="s">
        <v>24</v>
      </c>
      <c r="AN142" s="2"/>
      <c r="AO142" s="2" t="s">
        <v>25</v>
      </c>
      <c r="AP142" s="2" t="s">
        <v>138</v>
      </c>
    </row>
    <row r="143" spans="1:42" ht="240" x14ac:dyDescent="0.25">
      <c r="A143" s="2" t="s">
        <v>150</v>
      </c>
      <c r="B143" s="2" t="s">
        <v>151</v>
      </c>
      <c r="C143" s="2">
        <v>2023</v>
      </c>
      <c r="D143" s="2" t="s">
        <v>152</v>
      </c>
      <c r="E143" s="2" t="s">
        <v>79</v>
      </c>
      <c r="F143" s="2" t="s">
        <v>153</v>
      </c>
      <c r="G143" s="2" t="s">
        <v>154</v>
      </c>
      <c r="H143" s="2"/>
      <c r="I143" s="2"/>
      <c r="J143" s="2"/>
      <c r="K143" s="2">
        <v>6</v>
      </c>
      <c r="L143" s="2" t="s">
        <v>155</v>
      </c>
      <c r="M143" s="2" t="s">
        <v>156</v>
      </c>
      <c r="N143" s="4" t="s">
        <v>157</v>
      </c>
      <c r="O143" s="2"/>
      <c r="P143" s="2"/>
      <c r="Q143" s="2" t="s">
        <v>1645</v>
      </c>
      <c r="R143" s="2"/>
      <c r="S143" t="str">
        <f>INT(C143/10)*10 &amp; "s"</f>
        <v>2020s</v>
      </c>
      <c r="U143" t="str">
        <f>IF(AA143&lt;&gt;"","Simulation","Experiment")</f>
        <v>Simulation</v>
      </c>
      <c r="V143" t="s">
        <v>1619</v>
      </c>
      <c r="W143" t="s">
        <v>1359</v>
      </c>
      <c r="Z143" t="str">
        <f t="shared" si="11"/>
        <v/>
      </c>
      <c r="AA143" t="s">
        <v>1501</v>
      </c>
      <c r="AB143" t="str">
        <f>IF(AA143="1D","Bulk",
IF(AA143="x","","Local"))</f>
        <v>Bulk</v>
      </c>
      <c r="AC143" s="2" t="s">
        <v>1502</v>
      </c>
      <c r="AD143" s="2" t="s">
        <v>1503</v>
      </c>
      <c r="AE143" s="2" t="s">
        <v>1582</v>
      </c>
      <c r="AG143" s="2" t="s">
        <v>1508</v>
      </c>
      <c r="AH143" s="2" t="s">
        <v>1570</v>
      </c>
      <c r="AI143" s="2" t="s">
        <v>158</v>
      </c>
      <c r="AJ143" s="2" t="s">
        <v>159</v>
      </c>
      <c r="AK143" t="s">
        <v>1672</v>
      </c>
      <c r="AL143" s="2" t="s">
        <v>23</v>
      </c>
      <c r="AM143" s="2" t="s">
        <v>24</v>
      </c>
      <c r="AN143" s="2" t="s">
        <v>64</v>
      </c>
      <c r="AO143" s="2" t="s">
        <v>25</v>
      </c>
      <c r="AP143" s="2" t="s">
        <v>161</v>
      </c>
    </row>
    <row r="144" spans="1:42" ht="225" x14ac:dyDescent="0.25">
      <c r="A144" s="2" t="s">
        <v>259</v>
      </c>
      <c r="B144" s="2" t="s">
        <v>260</v>
      </c>
      <c r="C144" s="2">
        <v>2023</v>
      </c>
      <c r="D144" s="2" t="s">
        <v>81</v>
      </c>
      <c r="E144" s="2" t="s">
        <v>261</v>
      </c>
      <c r="F144" s="2" t="s">
        <v>262</v>
      </c>
      <c r="G144" s="2" t="s">
        <v>263</v>
      </c>
      <c r="H144" s="2"/>
      <c r="I144" s="2"/>
      <c r="J144" s="2"/>
      <c r="K144" s="2">
        <v>3</v>
      </c>
      <c r="L144" s="2" t="s">
        <v>264</v>
      </c>
      <c r="M144" s="2" t="s">
        <v>265</v>
      </c>
      <c r="N144" s="4" t="s">
        <v>266</v>
      </c>
      <c r="O144" s="2"/>
      <c r="P144" s="2"/>
      <c r="Q144" s="2" t="s">
        <v>1645</v>
      </c>
      <c r="R144" s="2"/>
      <c r="S144" t="str">
        <f>INT(C144/10)*10 &amp; "s"</f>
        <v>2020s</v>
      </c>
      <c r="U144" t="str">
        <f>IF(AA144&lt;&gt;"","Simulation","Experiment")</f>
        <v>Experiment</v>
      </c>
      <c r="Z144" t="str">
        <f t="shared" si="11"/>
        <v/>
      </c>
      <c r="AA144" s="2"/>
      <c r="AB144" t="str">
        <f>IF(AA144="1D","Bulk",
IF(AA144="x","","Local"))</f>
        <v>Local</v>
      </c>
      <c r="AC144" s="2"/>
      <c r="AD144" s="2"/>
      <c r="AE144" s="2"/>
      <c r="AF144" s="2"/>
      <c r="AG144" s="2"/>
      <c r="AH144" s="2"/>
      <c r="AI144" s="2" t="s">
        <v>267</v>
      </c>
      <c r="AJ144" s="2"/>
      <c r="AK144" t="s">
        <v>1673</v>
      </c>
      <c r="AL144" s="2" t="s">
        <v>23</v>
      </c>
      <c r="AM144" s="2" t="s">
        <v>24</v>
      </c>
      <c r="AN144" s="2" t="s">
        <v>64</v>
      </c>
      <c r="AO144" s="2" t="s">
        <v>25</v>
      </c>
      <c r="AP144" s="2" t="s">
        <v>269</v>
      </c>
    </row>
    <row r="145" spans="1:43" ht="135" x14ac:dyDescent="0.25">
      <c r="A145" s="2" t="s">
        <v>399</v>
      </c>
      <c r="B145" s="2" t="s">
        <v>400</v>
      </c>
      <c r="C145" s="2">
        <v>2023</v>
      </c>
      <c r="D145" s="2" t="s">
        <v>401</v>
      </c>
      <c r="E145" s="2" t="s">
        <v>153</v>
      </c>
      <c r="F145" s="2" t="s">
        <v>22</v>
      </c>
      <c r="G145" s="2"/>
      <c r="H145" s="2">
        <v>244</v>
      </c>
      <c r="I145" s="2">
        <v>257</v>
      </c>
      <c r="J145" s="2">
        <v>13</v>
      </c>
      <c r="K145" s="2">
        <v>3</v>
      </c>
      <c r="L145" s="2" t="s">
        <v>402</v>
      </c>
      <c r="M145" s="12" t="s">
        <v>403</v>
      </c>
      <c r="N145" s="14" t="s">
        <v>404</v>
      </c>
      <c r="O145" s="2"/>
      <c r="P145" s="2"/>
      <c r="Q145" s="2" t="s">
        <v>1463</v>
      </c>
      <c r="R145" s="2"/>
      <c r="S145" t="str">
        <f>INT(C145/10)*10 &amp; "s"</f>
        <v>2020s</v>
      </c>
      <c r="U145" t="s">
        <v>1601</v>
      </c>
      <c r="V145" t="s">
        <v>1612</v>
      </c>
      <c r="W145" t="s">
        <v>1685</v>
      </c>
      <c r="Z145" t="str">
        <f t="shared" si="11"/>
        <v/>
      </c>
      <c r="AA145" s="2"/>
      <c r="AB145" t="str">
        <f>IF(AA145="1D","Bulk",
IF(AA145="x","","Local"))</f>
        <v>Local</v>
      </c>
      <c r="AC145" s="2"/>
      <c r="AD145" s="2"/>
      <c r="AE145" s="2"/>
      <c r="AF145" s="2"/>
      <c r="AG145" s="2"/>
      <c r="AH145" s="2"/>
      <c r="AI145" s="2" t="s">
        <v>405</v>
      </c>
      <c r="AJ145" s="2" t="s">
        <v>406</v>
      </c>
      <c r="AK145" t="s">
        <v>407</v>
      </c>
      <c r="AL145" s="2" t="s">
        <v>23</v>
      </c>
      <c r="AM145" s="2" t="s">
        <v>24</v>
      </c>
      <c r="AN145" s="2" t="s">
        <v>64</v>
      </c>
      <c r="AO145" s="2" t="s">
        <v>25</v>
      </c>
      <c r="AP145" s="2" t="s">
        <v>408</v>
      </c>
    </row>
    <row r="146" spans="1:43" ht="255" hidden="1" x14ac:dyDescent="0.25">
      <c r="A146" s="2" t="s">
        <v>1257</v>
      </c>
      <c r="B146" s="2" t="s">
        <v>1258</v>
      </c>
      <c r="C146" s="2">
        <v>1998</v>
      </c>
      <c r="D146" s="2" t="s">
        <v>128</v>
      </c>
      <c r="E146" s="2"/>
      <c r="F146" s="2"/>
      <c r="G146" s="2"/>
      <c r="H146" s="2"/>
      <c r="I146" s="2"/>
      <c r="J146" s="2"/>
      <c r="K146" s="2">
        <v>9</v>
      </c>
      <c r="L146" s="2"/>
      <c r="M146" s="2" t="s">
        <v>1259</v>
      </c>
      <c r="N146" s="11" t="s">
        <v>1260</v>
      </c>
      <c r="O146" s="2"/>
      <c r="P146" s="2" t="s">
        <v>1371</v>
      </c>
      <c r="Q146" s="2"/>
      <c r="R146" s="2"/>
      <c r="S146" s="2"/>
      <c r="T146" s="2"/>
      <c r="U146" s="2"/>
      <c r="V146" s="2"/>
      <c r="W146" s="2"/>
      <c r="X146" s="2"/>
      <c r="Y146" s="2"/>
      <c r="Z146" t="str">
        <f t="shared" si="11"/>
        <v/>
      </c>
      <c r="AA146" s="2"/>
      <c r="AB146" s="2"/>
      <c r="AC146" s="2"/>
      <c r="AD146" s="2"/>
      <c r="AE146" s="2"/>
      <c r="AF146" s="2"/>
      <c r="AG146" s="2"/>
      <c r="AH146" s="2"/>
      <c r="AI146" s="2"/>
      <c r="AJ146" s="2"/>
      <c r="AK146" t="s">
        <v>1261</v>
      </c>
      <c r="AL146" s="2" t="s">
        <v>29</v>
      </c>
      <c r="AM146" s="2" t="s">
        <v>24</v>
      </c>
      <c r="AN146" s="2"/>
      <c r="AO146" s="2" t="s">
        <v>25</v>
      </c>
      <c r="AP146" s="2" t="s">
        <v>1262</v>
      </c>
    </row>
    <row r="147" spans="1:43" ht="135" x14ac:dyDescent="0.25">
      <c r="A147" s="2" t="s">
        <v>418</v>
      </c>
      <c r="B147" s="2" t="s">
        <v>419</v>
      </c>
      <c r="C147" s="2">
        <v>2023</v>
      </c>
      <c r="D147" s="2" t="s">
        <v>420</v>
      </c>
      <c r="E147" s="2" t="s">
        <v>421</v>
      </c>
      <c r="F147" s="2"/>
      <c r="G147" s="2" t="s">
        <v>422</v>
      </c>
      <c r="H147" s="2"/>
      <c r="I147" s="2"/>
      <c r="J147" s="2"/>
      <c r="K147" s="2">
        <v>23</v>
      </c>
      <c r="L147" s="2" t="s">
        <v>423</v>
      </c>
      <c r="M147" s="12" t="s">
        <v>424</v>
      </c>
      <c r="N147" s="14" t="s">
        <v>1674</v>
      </c>
      <c r="O147" s="2"/>
      <c r="P147" s="2"/>
      <c r="Q147" s="2" t="s">
        <v>1463</v>
      </c>
      <c r="R147" s="2"/>
      <c r="S147" t="str">
        <f>INT(C147/10)*10 &amp; "s"</f>
        <v>2020s</v>
      </c>
      <c r="U147" t="s">
        <v>429</v>
      </c>
      <c r="Z147" t="str">
        <f t="shared" ref="Z147:Z158" si="12">IF(U147=3,"Simulation und Experiment",
IF(U147=4,"Review",
IF(U147=5,"Nur Literaturwerte",
IF(U147=6,"Analytical",""))))</f>
        <v/>
      </c>
      <c r="AA147" s="2" t="s">
        <v>1371</v>
      </c>
      <c r="AB147" t="str">
        <f t="shared" ref="AB147:AB152" si="13">IF(AA147="1D","Bulk",
IF(AA147="x","","Local"))</f>
        <v/>
      </c>
      <c r="AC147" s="2"/>
      <c r="AD147" s="2"/>
      <c r="AE147" s="2"/>
      <c r="AF147" s="2"/>
      <c r="AG147" s="2"/>
      <c r="AH147" s="2"/>
      <c r="AI147" s="2" t="s">
        <v>426</v>
      </c>
      <c r="AJ147" s="2" t="s">
        <v>427</v>
      </c>
      <c r="AK147" t="s">
        <v>1675</v>
      </c>
      <c r="AL147" s="2" t="s">
        <v>429</v>
      </c>
      <c r="AM147" s="2" t="s">
        <v>24</v>
      </c>
      <c r="AN147" s="2"/>
      <c r="AO147" s="2" t="s">
        <v>25</v>
      </c>
      <c r="AP147" s="2" t="s">
        <v>430</v>
      </c>
    </row>
    <row r="148" spans="1:43" ht="135" x14ac:dyDescent="0.25">
      <c r="A148" s="2" t="s">
        <v>185</v>
      </c>
      <c r="B148" s="2" t="s">
        <v>1676</v>
      </c>
      <c r="C148" s="2">
        <v>2024</v>
      </c>
      <c r="D148" s="2" t="s">
        <v>187</v>
      </c>
      <c r="E148" s="2" t="s">
        <v>188</v>
      </c>
      <c r="F148" s="2"/>
      <c r="G148" s="2"/>
      <c r="H148" s="2">
        <v>11</v>
      </c>
      <c r="I148" s="2">
        <v>22</v>
      </c>
      <c r="J148" s="2">
        <v>11</v>
      </c>
      <c r="K148" s="2">
        <v>0</v>
      </c>
      <c r="L148" s="2" t="s">
        <v>189</v>
      </c>
      <c r="M148" s="12" t="s">
        <v>190</v>
      </c>
      <c r="N148" s="14" t="s">
        <v>1677</v>
      </c>
      <c r="O148" s="2"/>
      <c r="P148" s="2"/>
      <c r="Q148" s="2" t="s">
        <v>1459</v>
      </c>
      <c r="R148" s="2"/>
      <c r="S148" t="str">
        <f>INT(C148/10)*10 &amp; "s"</f>
        <v>2020s</v>
      </c>
      <c r="U148" t="str">
        <f>IF(AA148&lt;&gt;"","Simulation","Experiment")</f>
        <v>Simulation</v>
      </c>
      <c r="V148" t="s">
        <v>1619</v>
      </c>
      <c r="W148" t="s">
        <v>1359</v>
      </c>
      <c r="Z148" t="str">
        <f t="shared" si="12"/>
        <v/>
      </c>
      <c r="AA148" t="s">
        <v>1507</v>
      </c>
      <c r="AB148" t="str">
        <f t="shared" si="13"/>
        <v>Local</v>
      </c>
      <c r="AC148" s="2" t="s">
        <v>1502</v>
      </c>
      <c r="AD148" s="2" t="s">
        <v>1503</v>
      </c>
      <c r="AE148" s="2" t="s">
        <v>1541</v>
      </c>
      <c r="AF148" s="2" t="s">
        <v>1586</v>
      </c>
      <c r="AG148" s="2" t="s">
        <v>1508</v>
      </c>
      <c r="AH148" s="2" t="s">
        <v>1587</v>
      </c>
      <c r="AI148" s="2" t="s">
        <v>192</v>
      </c>
      <c r="AJ148" s="2" t="s">
        <v>1678</v>
      </c>
      <c r="AK148" t="s">
        <v>194</v>
      </c>
      <c r="AL148" s="2" t="s">
        <v>29</v>
      </c>
      <c r="AM148" s="2" t="s">
        <v>24</v>
      </c>
      <c r="AN148" s="2"/>
      <c r="AO148" s="2" t="s">
        <v>25</v>
      </c>
      <c r="AP148" s="2" t="s">
        <v>195</v>
      </c>
    </row>
    <row r="149" spans="1:43" ht="195" x14ac:dyDescent="0.25">
      <c r="A149" s="2" t="s">
        <v>237</v>
      </c>
      <c r="B149" s="2" t="s">
        <v>238</v>
      </c>
      <c r="C149" s="2">
        <v>2024</v>
      </c>
      <c r="D149" s="2" t="s">
        <v>33</v>
      </c>
      <c r="E149" s="2" t="s">
        <v>239</v>
      </c>
      <c r="F149" s="2"/>
      <c r="G149" s="2" t="s">
        <v>240</v>
      </c>
      <c r="H149" s="2"/>
      <c r="I149" s="2"/>
      <c r="J149" s="2"/>
      <c r="K149" s="2">
        <v>0</v>
      </c>
      <c r="L149" s="2" t="s">
        <v>241</v>
      </c>
      <c r="M149" s="12" t="s">
        <v>242</v>
      </c>
      <c r="N149" s="14" t="s">
        <v>243</v>
      </c>
      <c r="O149" s="2"/>
      <c r="P149" s="2"/>
      <c r="Q149" s="2" t="s">
        <v>1645</v>
      </c>
      <c r="R149" s="2"/>
      <c r="S149" t="str">
        <f>INT(C149/10)*10 &amp; "s"</f>
        <v>2020s</v>
      </c>
      <c r="U149" t="s">
        <v>1618</v>
      </c>
      <c r="V149" t="s">
        <v>1613</v>
      </c>
      <c r="W149" t="s">
        <v>1359</v>
      </c>
      <c r="Z149" t="str">
        <f t="shared" si="12"/>
        <v/>
      </c>
      <c r="AA149" s="2" t="s">
        <v>1371</v>
      </c>
      <c r="AB149" t="str">
        <f t="shared" si="13"/>
        <v/>
      </c>
      <c r="AC149" s="2"/>
      <c r="AD149" s="2"/>
      <c r="AE149" s="2"/>
      <c r="AF149" s="2"/>
      <c r="AG149" s="2"/>
      <c r="AH149" s="2"/>
      <c r="AI149" s="2" t="s">
        <v>244</v>
      </c>
      <c r="AJ149" s="2" t="s">
        <v>245</v>
      </c>
      <c r="AK149" t="s">
        <v>1679</v>
      </c>
      <c r="AL149" s="2" t="s">
        <v>23</v>
      </c>
      <c r="AM149" s="2" t="s">
        <v>24</v>
      </c>
      <c r="AN149" s="2" t="s">
        <v>67</v>
      </c>
      <c r="AO149" s="2" t="s">
        <v>25</v>
      </c>
      <c r="AP149" s="2" t="s">
        <v>247</v>
      </c>
    </row>
    <row r="150" spans="1:43" ht="240" x14ac:dyDescent="0.25">
      <c r="A150" s="2" t="s">
        <v>355</v>
      </c>
      <c r="B150" s="2" t="s">
        <v>356</v>
      </c>
      <c r="C150" s="2">
        <v>2024</v>
      </c>
      <c r="D150" s="2" t="s">
        <v>45</v>
      </c>
      <c r="E150" s="2" t="s">
        <v>357</v>
      </c>
      <c r="F150" s="2"/>
      <c r="G150" s="2" t="s">
        <v>358</v>
      </c>
      <c r="H150" s="2"/>
      <c r="I150" s="2"/>
      <c r="J150" s="2"/>
      <c r="K150" s="2">
        <v>0</v>
      </c>
      <c r="L150" s="2" t="s">
        <v>359</v>
      </c>
      <c r="M150" s="12" t="s">
        <v>360</v>
      </c>
      <c r="N150" s="14" t="s">
        <v>361</v>
      </c>
      <c r="O150" s="2"/>
      <c r="P150" s="2"/>
      <c r="Q150" s="2" t="s">
        <v>1456</v>
      </c>
      <c r="R150" s="2"/>
      <c r="S150" t="str">
        <f>INT(C150/10)*10 &amp; "s"</f>
        <v>2020s</v>
      </c>
      <c r="U150" t="str">
        <f>IF(AA150&lt;&gt;"","Simulation","Experiment")</f>
        <v>Experiment</v>
      </c>
      <c r="Z150" t="str">
        <f t="shared" si="12"/>
        <v/>
      </c>
      <c r="AA150" s="2"/>
      <c r="AB150" t="str">
        <f t="shared" si="13"/>
        <v>Local</v>
      </c>
      <c r="AC150" s="2"/>
      <c r="AD150" s="2"/>
      <c r="AE150" s="2"/>
      <c r="AF150" s="2"/>
      <c r="AG150" s="2"/>
      <c r="AH150" s="2"/>
      <c r="AI150" s="2" t="s">
        <v>362</v>
      </c>
      <c r="AJ150" s="2" t="s">
        <v>363</v>
      </c>
      <c r="AK150" t="s">
        <v>1680</v>
      </c>
      <c r="AL150" s="2" t="s">
        <v>23</v>
      </c>
      <c r="AM150" s="2" t="s">
        <v>24</v>
      </c>
      <c r="AN150" s="2"/>
      <c r="AO150" s="2" t="s">
        <v>25</v>
      </c>
      <c r="AP150" s="2" t="s">
        <v>365</v>
      </c>
    </row>
    <row r="151" spans="1:43" ht="195" x14ac:dyDescent="0.25">
      <c r="A151" s="2" t="s">
        <v>451</v>
      </c>
      <c r="B151" s="2" t="s">
        <v>452</v>
      </c>
      <c r="C151" s="2">
        <v>2024</v>
      </c>
      <c r="D151" s="2" t="s">
        <v>81</v>
      </c>
      <c r="E151" s="2" t="s">
        <v>79</v>
      </c>
      <c r="F151" s="2" t="s">
        <v>83</v>
      </c>
      <c r="G151" s="2" t="s">
        <v>453</v>
      </c>
      <c r="H151" s="2"/>
      <c r="I151" s="2"/>
      <c r="J151" s="2"/>
      <c r="K151" s="2">
        <v>1</v>
      </c>
      <c r="L151" s="2" t="s">
        <v>454</v>
      </c>
      <c r="M151" s="2" t="s">
        <v>455</v>
      </c>
      <c r="N151" s="9" t="s">
        <v>1681</v>
      </c>
      <c r="O151" s="2"/>
      <c r="P151" s="2"/>
      <c r="Q151" s="2" t="s">
        <v>1645</v>
      </c>
      <c r="R151" s="2"/>
      <c r="S151" t="str">
        <f>INT(C151/10)*10 &amp; "s"</f>
        <v>2020s</v>
      </c>
      <c r="U151" t="str">
        <f>IF(AA151&lt;&gt;"","Simulation","Experiment")</f>
        <v>Simulation</v>
      </c>
      <c r="V151" t="s">
        <v>1619</v>
      </c>
      <c r="W151" t="s">
        <v>1359</v>
      </c>
      <c r="Z151" t="str">
        <f t="shared" si="12"/>
        <v/>
      </c>
      <c r="AA151" t="s">
        <v>1574</v>
      </c>
      <c r="AB151" t="str">
        <f t="shared" si="13"/>
        <v>Local</v>
      </c>
      <c r="AC151" s="2" t="s">
        <v>1502</v>
      </c>
      <c r="AD151" s="2" t="s">
        <v>1503</v>
      </c>
      <c r="AE151" s="2" t="s">
        <v>1584</v>
      </c>
      <c r="AG151" s="2" t="s">
        <v>1505</v>
      </c>
      <c r="AH151" s="2" t="s">
        <v>1585</v>
      </c>
      <c r="AI151" s="2" t="s">
        <v>457</v>
      </c>
      <c r="AJ151" s="2" t="s">
        <v>458</v>
      </c>
      <c r="AK151" t="s">
        <v>459</v>
      </c>
      <c r="AL151" s="2" t="s">
        <v>23</v>
      </c>
      <c r="AM151" s="2" t="s">
        <v>24</v>
      </c>
      <c r="AN151" s="2" t="s">
        <v>30</v>
      </c>
      <c r="AO151" s="2" t="s">
        <v>25</v>
      </c>
      <c r="AP151" s="2" t="s">
        <v>460</v>
      </c>
    </row>
    <row r="152" spans="1:43" ht="180" x14ac:dyDescent="0.25">
      <c r="A152" s="2" t="s">
        <v>355</v>
      </c>
      <c r="B152" s="2" t="s">
        <v>470</v>
      </c>
      <c r="C152" s="2">
        <v>2024</v>
      </c>
      <c r="D152" s="2" t="s">
        <v>33</v>
      </c>
      <c r="E152" s="2" t="s">
        <v>471</v>
      </c>
      <c r="F152" s="2"/>
      <c r="G152" s="2" t="s">
        <v>472</v>
      </c>
      <c r="H152" s="2"/>
      <c r="I152" s="2"/>
      <c r="J152" s="2"/>
      <c r="K152" s="2">
        <v>1</v>
      </c>
      <c r="L152" s="2" t="s">
        <v>473</v>
      </c>
      <c r="M152" s="12" t="s">
        <v>474</v>
      </c>
      <c r="N152" s="14" t="s">
        <v>475</v>
      </c>
      <c r="O152" s="2"/>
      <c r="P152" s="2"/>
      <c r="Q152" s="2" t="s">
        <v>1456</v>
      </c>
      <c r="R152" s="2"/>
      <c r="S152" t="str">
        <f>INT(C152/10)*10 &amp; "s"</f>
        <v>2020s</v>
      </c>
      <c r="U152" t="s">
        <v>1618</v>
      </c>
      <c r="V152" t="s">
        <v>1613</v>
      </c>
      <c r="W152" t="s">
        <v>1359</v>
      </c>
      <c r="Z152" t="str">
        <f t="shared" si="12"/>
        <v/>
      </c>
      <c r="AA152" t="s">
        <v>1507</v>
      </c>
      <c r="AB152" t="str">
        <f t="shared" si="13"/>
        <v>Local</v>
      </c>
      <c r="AC152" s="2" t="s">
        <v>1502</v>
      </c>
      <c r="AD152" s="2" t="s">
        <v>1544</v>
      </c>
      <c r="AE152" s="2" t="s">
        <v>1588</v>
      </c>
      <c r="AF152" s="2"/>
      <c r="AG152" s="2" t="s">
        <v>1567</v>
      </c>
      <c r="AH152" s="2" t="s">
        <v>1551</v>
      </c>
      <c r="AI152" s="2" t="s">
        <v>476</v>
      </c>
      <c r="AJ152" s="2" t="s">
        <v>477</v>
      </c>
      <c r="AK152" t="s">
        <v>1682</v>
      </c>
      <c r="AL152" s="2" t="s">
        <v>23</v>
      </c>
      <c r="AM152" s="2" t="s">
        <v>24</v>
      </c>
      <c r="AN152" s="2"/>
      <c r="AO152" s="2" t="s">
        <v>25</v>
      </c>
      <c r="AP152" s="2" t="s">
        <v>479</v>
      </c>
    </row>
    <row r="153" spans="1:43" ht="150" hidden="1" x14ac:dyDescent="0.25">
      <c r="A153" s="2" t="s">
        <v>1173</v>
      </c>
      <c r="B153" s="2" t="s">
        <v>1174</v>
      </c>
      <c r="C153" s="2">
        <v>1993</v>
      </c>
      <c r="D153" s="2" t="s">
        <v>1175</v>
      </c>
      <c r="E153" s="2"/>
      <c r="F153" s="2" t="s">
        <v>1176</v>
      </c>
      <c r="G153" s="2"/>
      <c r="H153" s="2">
        <v>125</v>
      </c>
      <c r="I153" s="2"/>
      <c r="J153" s="2"/>
      <c r="K153" s="2">
        <v>0</v>
      </c>
      <c r="L153" s="2"/>
      <c r="M153" s="2" t="s">
        <v>1177</v>
      </c>
      <c r="N153" s="11" t="s">
        <v>1178</v>
      </c>
      <c r="O153" s="2"/>
      <c r="P153" s="2" t="s">
        <v>1371</v>
      </c>
      <c r="Q153" s="2"/>
      <c r="R153" s="2"/>
      <c r="S153" s="2"/>
      <c r="T153" s="2"/>
      <c r="U153" s="2"/>
      <c r="V153" s="2"/>
      <c r="W153" s="2"/>
      <c r="X153" s="2"/>
      <c r="Y153" s="2"/>
      <c r="Z153" t="str">
        <f t="shared" si="12"/>
        <v/>
      </c>
      <c r="AA153" s="2"/>
      <c r="AB153" s="2"/>
      <c r="AC153" s="2"/>
      <c r="AD153" s="2"/>
      <c r="AE153" s="2"/>
      <c r="AF153" s="2"/>
      <c r="AG153" s="2"/>
      <c r="AH153" s="2"/>
      <c r="AI153" s="2"/>
      <c r="AJ153" s="2" t="s">
        <v>1179</v>
      </c>
      <c r="AL153" s="2" t="s">
        <v>1180</v>
      </c>
      <c r="AM153" s="2" t="s">
        <v>24</v>
      </c>
      <c r="AN153" s="2"/>
      <c r="AO153" s="2" t="s">
        <v>25</v>
      </c>
      <c r="AP153" s="2" t="s">
        <v>1181</v>
      </c>
    </row>
    <row r="154" spans="1:43" s="2" customFormat="1" ht="135" x14ac:dyDescent="0.25">
      <c r="A154" s="2" t="s">
        <v>525</v>
      </c>
      <c r="B154" s="2" t="s">
        <v>526</v>
      </c>
      <c r="C154" s="2">
        <v>2024</v>
      </c>
      <c r="D154" s="2" t="s">
        <v>527</v>
      </c>
      <c r="E154" s="2" t="s">
        <v>528</v>
      </c>
      <c r="G154" s="2" t="s">
        <v>529</v>
      </c>
      <c r="K154" s="2">
        <v>0</v>
      </c>
      <c r="L154" s="2" t="s">
        <v>530</v>
      </c>
      <c r="M154" s="12" t="s">
        <v>531</v>
      </c>
      <c r="N154" s="14" t="s">
        <v>532</v>
      </c>
      <c r="Q154" s="2" t="s">
        <v>1463</v>
      </c>
      <c r="S154" t="str">
        <f t="shared" ref="S154:S163" si="14">INT(C154/10)*10 &amp; "s"</f>
        <v>2020s</v>
      </c>
      <c r="T154"/>
      <c r="U154" t="s">
        <v>1618</v>
      </c>
      <c r="V154" t="s">
        <v>1613</v>
      </c>
      <c r="W154" t="s">
        <v>1685</v>
      </c>
      <c r="X154"/>
      <c r="Y154"/>
      <c r="Z154" t="str">
        <f t="shared" si="12"/>
        <v/>
      </c>
      <c r="AA154" t="s">
        <v>1507</v>
      </c>
      <c r="AB154" t="str">
        <f>IF(AA154="1D","Bulk",
IF(AA154="x","","Local"))</f>
        <v>Local</v>
      </c>
      <c r="AC154" s="2" t="s">
        <v>1502</v>
      </c>
      <c r="AD154" s="2" t="s">
        <v>1503</v>
      </c>
      <c r="AE154" s="2" t="s">
        <v>1589</v>
      </c>
      <c r="AF154" s="2" t="s">
        <v>1590</v>
      </c>
      <c r="AG154" s="2" t="s">
        <v>1508</v>
      </c>
      <c r="AH154" s="2" t="s">
        <v>1551</v>
      </c>
      <c r="AI154" s="2" t="s">
        <v>533</v>
      </c>
      <c r="AJ154" s="2" t="s">
        <v>534</v>
      </c>
      <c r="AK154" t="s">
        <v>1683</v>
      </c>
      <c r="AL154" s="2" t="s">
        <v>23</v>
      </c>
      <c r="AM154" s="2" t="s">
        <v>24</v>
      </c>
      <c r="AO154" s="2" t="s">
        <v>25</v>
      </c>
      <c r="AP154" s="2" t="s">
        <v>536</v>
      </c>
      <c r="AQ154" s="2" t="s">
        <v>1387</v>
      </c>
    </row>
    <row r="155" spans="1:43" s="2" customFormat="1" ht="135" x14ac:dyDescent="0.25">
      <c r="A155" s="4" t="s">
        <v>1417</v>
      </c>
      <c r="B155" s="4" t="s">
        <v>1418</v>
      </c>
      <c r="C155" s="4">
        <v>2025</v>
      </c>
      <c r="D155" s="4" t="s">
        <v>187</v>
      </c>
      <c r="E155" s="4">
        <v>552</v>
      </c>
      <c r="F155" s="4"/>
      <c r="G155" s="4"/>
      <c r="H155" s="4"/>
      <c r="I155" s="4"/>
      <c r="J155" s="4"/>
      <c r="K155" s="4"/>
      <c r="L155" s="4"/>
      <c r="M155" s="26"/>
      <c r="N155" s="4" t="s">
        <v>1419</v>
      </c>
      <c r="Q155" s="2" t="s">
        <v>1456</v>
      </c>
      <c r="S155" t="str">
        <f t="shared" si="14"/>
        <v>2020s</v>
      </c>
      <c r="T155"/>
      <c r="U155" t="s">
        <v>1618</v>
      </c>
      <c r="V155" t="s">
        <v>1613</v>
      </c>
      <c r="W155" t="s">
        <v>1359</v>
      </c>
      <c r="X155"/>
      <c r="Y155"/>
      <c r="Z155" t="str">
        <f t="shared" si="12"/>
        <v/>
      </c>
      <c r="AB155" t="str">
        <f>IF(AA155="1D","Bulk",
IF(AA155="x","","Local"))</f>
        <v>Local</v>
      </c>
      <c r="AQ155" s="2" t="s">
        <v>1398</v>
      </c>
    </row>
    <row r="156" spans="1:43" s="2" customFormat="1" ht="165" x14ac:dyDescent="0.25">
      <c r="A156" s="2" t="s">
        <v>508</v>
      </c>
      <c r="B156" s="2" t="s">
        <v>509</v>
      </c>
      <c r="C156" s="2">
        <v>2025</v>
      </c>
      <c r="D156" s="2" t="s">
        <v>187</v>
      </c>
      <c r="E156" s="2" t="s">
        <v>510</v>
      </c>
      <c r="H156" s="2">
        <v>73</v>
      </c>
      <c r="I156" s="2">
        <v>79</v>
      </c>
      <c r="J156" s="2">
        <v>6</v>
      </c>
      <c r="K156" s="2">
        <v>0</v>
      </c>
      <c r="L156" s="2" t="s">
        <v>511</v>
      </c>
      <c r="M156" t="s">
        <v>512</v>
      </c>
      <c r="N156" s="14" t="s">
        <v>513</v>
      </c>
      <c r="Q156" s="28" t="s">
        <v>1640</v>
      </c>
      <c r="R156" s="28"/>
      <c r="S156" t="str">
        <f t="shared" si="14"/>
        <v>2020s</v>
      </c>
      <c r="T156"/>
      <c r="U156" t="s">
        <v>1618</v>
      </c>
      <c r="V156" t="s">
        <v>1613</v>
      </c>
      <c r="W156" t="s">
        <v>1359</v>
      </c>
      <c r="X156"/>
      <c r="Y156"/>
      <c r="Z156" t="str">
        <f t="shared" si="12"/>
        <v/>
      </c>
      <c r="AA156" t="s">
        <v>1507</v>
      </c>
      <c r="AB156" t="str">
        <f>IF(AA156="1D","Bulk",
IF(AA156="x","","Local"))</f>
        <v>Local</v>
      </c>
      <c r="AC156" s="2" t="s">
        <v>1502</v>
      </c>
      <c r="AD156" s="2" t="s">
        <v>1503</v>
      </c>
      <c r="AE156" s="2" t="s">
        <v>1513</v>
      </c>
      <c r="AF156"/>
      <c r="AG156" s="2" t="s">
        <v>1505</v>
      </c>
      <c r="AH156" s="2" t="s">
        <v>1540</v>
      </c>
      <c r="AI156" s="2" t="s">
        <v>514</v>
      </c>
      <c r="AJ156" s="2" t="s">
        <v>515</v>
      </c>
      <c r="AK156" t="s">
        <v>1684</v>
      </c>
      <c r="AL156" s="2" t="s">
        <v>29</v>
      </c>
      <c r="AM156" s="2" t="s">
        <v>24</v>
      </c>
      <c r="AO156" s="2" t="s">
        <v>25</v>
      </c>
      <c r="AP156" s="2" t="s">
        <v>517</v>
      </c>
      <c r="AQ156" s="2" t="s">
        <v>1399</v>
      </c>
    </row>
    <row r="157" spans="1:43" s="2" customFormat="1" ht="409.5" x14ac:dyDescent="0.25">
      <c r="A157" s="2" t="s">
        <v>1388</v>
      </c>
      <c r="B157" s="2" t="s">
        <v>1389</v>
      </c>
      <c r="C157" s="2">
        <v>2025</v>
      </c>
      <c r="D157" s="2" t="s">
        <v>175</v>
      </c>
      <c r="E157" s="2" t="s">
        <v>1390</v>
      </c>
      <c r="G157" s="2">
        <v>115816</v>
      </c>
      <c r="K157" s="2">
        <v>3</v>
      </c>
      <c r="L157" s="2" t="s">
        <v>1391</v>
      </c>
      <c r="M157" t="s">
        <v>1392</v>
      </c>
      <c r="N157" s="21" t="s">
        <v>1393</v>
      </c>
      <c r="Q157" s="2" t="s">
        <v>1645</v>
      </c>
      <c r="S157" t="str">
        <f t="shared" si="14"/>
        <v>2020s</v>
      </c>
      <c r="T157"/>
      <c r="U157" t="str">
        <f>IF(AA157&lt;&gt;"","Simulation","Experiment")</f>
        <v>Simulation</v>
      </c>
      <c r="V157" t="s">
        <v>1612</v>
      </c>
      <c r="W157" t="s">
        <v>1359</v>
      </c>
      <c r="X157"/>
      <c r="Y157"/>
      <c r="Z157" t="str">
        <f t="shared" si="12"/>
        <v/>
      </c>
      <c r="AA157" t="s">
        <v>1515</v>
      </c>
      <c r="AB157" t="str">
        <f>IF(AA157="1D","Bulk",
IF(AA157="x","","Local"))</f>
        <v>Local</v>
      </c>
      <c r="AC157" s="2" t="s">
        <v>1502</v>
      </c>
      <c r="AD157" s="2" t="s">
        <v>1591</v>
      </c>
      <c r="AE157" s="2" t="s">
        <v>1584</v>
      </c>
      <c r="AF157"/>
      <c r="AG157" s="2" t="s">
        <v>1592</v>
      </c>
      <c r="AH157" s="2" t="s">
        <v>1593</v>
      </c>
      <c r="AI157" s="2" t="s">
        <v>1394</v>
      </c>
      <c r="AJ157" s="2" t="s">
        <v>1395</v>
      </c>
      <c r="AK157" s="2" t="s">
        <v>1396</v>
      </c>
      <c r="AL157" s="2" t="s">
        <v>1397</v>
      </c>
      <c r="AM157" s="2" t="s">
        <v>23</v>
      </c>
      <c r="AN157" s="2" t="s">
        <v>24</v>
      </c>
      <c r="AP157" s="2" t="s">
        <v>25</v>
      </c>
      <c r="AQ157" s="2" t="s">
        <v>1411</v>
      </c>
    </row>
    <row r="158" spans="1:43" ht="409.5" x14ac:dyDescent="0.25">
      <c r="A158" s="2" t="s">
        <v>1400</v>
      </c>
      <c r="B158" s="2" t="s">
        <v>1401</v>
      </c>
      <c r="C158" s="2">
        <v>2025</v>
      </c>
      <c r="D158" s="2" t="s">
        <v>187</v>
      </c>
      <c r="E158" s="2" t="s">
        <v>1402</v>
      </c>
      <c r="F158" s="2"/>
      <c r="G158" s="2"/>
      <c r="H158" s="2">
        <v>286</v>
      </c>
      <c r="I158" s="2">
        <v>299</v>
      </c>
      <c r="J158" s="2"/>
      <c r="K158" s="2"/>
      <c r="L158" s="2" t="s">
        <v>1403</v>
      </c>
      <c r="M158" s="12" t="s">
        <v>1404</v>
      </c>
      <c r="N158" s="21" t="s">
        <v>1405</v>
      </c>
      <c r="O158" s="2"/>
      <c r="P158" s="2"/>
      <c r="Q158" s="2" t="s">
        <v>1645</v>
      </c>
      <c r="R158" s="2"/>
      <c r="S158" t="str">
        <f t="shared" si="14"/>
        <v>2020s</v>
      </c>
      <c r="U158" t="str">
        <f>IF(AA158&lt;&gt;"","Simulation","Experiment")</f>
        <v>Simulation</v>
      </c>
      <c r="V158" t="s">
        <v>1612</v>
      </c>
      <c r="W158" t="s">
        <v>1359</v>
      </c>
      <c r="Z158" t="str">
        <f t="shared" si="12"/>
        <v/>
      </c>
      <c r="AA158" t="s">
        <v>1501</v>
      </c>
      <c r="AB158" t="str">
        <f>IF(AA158="1D","Bulk",
IF(AA158="x","","Local"))</f>
        <v>Bulk</v>
      </c>
      <c r="AC158" s="2" t="s">
        <v>1502</v>
      </c>
      <c r="AD158" s="2" t="s">
        <v>1591</v>
      </c>
      <c r="AE158" s="2" t="s">
        <v>1584</v>
      </c>
      <c r="AG158" s="2" t="s">
        <v>1592</v>
      </c>
      <c r="AH158" s="2" t="s">
        <v>1593</v>
      </c>
      <c r="AI158" s="2" t="s">
        <v>1406</v>
      </c>
      <c r="AJ158" s="2" t="s">
        <v>1407</v>
      </c>
      <c r="AK158" s="2" t="s">
        <v>1408</v>
      </c>
      <c r="AL158" s="2" t="s">
        <v>1409</v>
      </c>
      <c r="AM158" s="2" t="s">
        <v>1410</v>
      </c>
      <c r="AN158" s="2" t="s">
        <v>24</v>
      </c>
      <c r="AO158" s="2"/>
      <c r="AP158" s="2" t="s">
        <v>25</v>
      </c>
    </row>
    <row r="159" spans="1:43" x14ac:dyDescent="0.25">
      <c r="A159" t="s">
        <v>1621</v>
      </c>
      <c r="B159" t="s">
        <v>1620</v>
      </c>
      <c r="C159" s="2">
        <v>1980</v>
      </c>
      <c r="D159" s="2" t="s">
        <v>1622</v>
      </c>
      <c r="S159" t="str">
        <f t="shared" si="14"/>
        <v>1980s</v>
      </c>
      <c r="U159" t="s">
        <v>1618</v>
      </c>
      <c r="V159" t="s">
        <v>1613</v>
      </c>
      <c r="W159" t="s">
        <v>1685</v>
      </c>
    </row>
    <row r="160" spans="1:43" x14ac:dyDescent="0.25">
      <c r="A160" t="s">
        <v>1624</v>
      </c>
      <c r="B160" t="s">
        <v>1623</v>
      </c>
      <c r="C160" s="2">
        <v>1987</v>
      </c>
      <c r="D160" s="2" t="s">
        <v>1625</v>
      </c>
      <c r="S160" t="str">
        <f t="shared" si="14"/>
        <v>1980s</v>
      </c>
      <c r="U160" t="s">
        <v>1361</v>
      </c>
    </row>
    <row r="161" spans="1:23" x14ac:dyDescent="0.25">
      <c r="A161" t="s">
        <v>1624</v>
      </c>
      <c r="B161" t="s">
        <v>1626</v>
      </c>
      <c r="C161" s="2">
        <v>1989</v>
      </c>
      <c r="S161" t="str">
        <f t="shared" si="14"/>
        <v>1980s</v>
      </c>
      <c r="U161" t="s">
        <v>1361</v>
      </c>
    </row>
    <row r="162" spans="1:23" x14ac:dyDescent="0.25">
      <c r="A162" t="s">
        <v>1628</v>
      </c>
      <c r="B162" t="s">
        <v>1627</v>
      </c>
      <c r="C162" s="2">
        <v>1998</v>
      </c>
      <c r="D162" s="2" t="s">
        <v>1622</v>
      </c>
      <c r="P162" s="33"/>
      <c r="Q162" s="33"/>
      <c r="S162" t="str">
        <f t="shared" si="14"/>
        <v>1990s</v>
      </c>
      <c r="U162" t="s">
        <v>1618</v>
      </c>
      <c r="V162" t="s">
        <v>1613</v>
      </c>
      <c r="W162" t="s">
        <v>1685</v>
      </c>
    </row>
    <row r="163" spans="1:23" x14ac:dyDescent="0.25">
      <c r="A163" t="s">
        <v>1630</v>
      </c>
      <c r="B163" t="s">
        <v>1629</v>
      </c>
      <c r="C163" s="2">
        <v>2013</v>
      </c>
      <c r="D163" s="2" t="s">
        <v>1622</v>
      </c>
      <c r="P163" s="34"/>
      <c r="Q163" s="34"/>
      <c r="S163" t="str">
        <f t="shared" si="14"/>
        <v>2010s</v>
      </c>
      <c r="U163" t="s">
        <v>1618</v>
      </c>
      <c r="V163" t="s">
        <v>1613</v>
      </c>
      <c r="W163" t="s">
        <v>1685</v>
      </c>
    </row>
    <row r="164" spans="1:23" x14ac:dyDescent="0.25">
      <c r="Q164" s="34"/>
    </row>
    <row r="165" spans="1:23" x14ac:dyDescent="0.25">
      <c r="Q165" s="34"/>
    </row>
    <row r="166" spans="1:23" x14ac:dyDescent="0.25">
      <c r="P166" s="34"/>
      <c r="Q166" s="34"/>
    </row>
    <row r="167" spans="1:23" x14ac:dyDescent="0.25">
      <c r="P167" s="34"/>
      <c r="Q167" s="34"/>
    </row>
    <row r="175" spans="1:23" x14ac:dyDescent="0.25">
      <c r="P175" s="35"/>
    </row>
    <row r="178" spans="15:18" x14ac:dyDescent="0.25">
      <c r="Q178" s="34"/>
      <c r="R178" s="34"/>
    </row>
    <row r="179" spans="15:18" x14ac:dyDescent="0.25">
      <c r="Q179" s="34"/>
      <c r="R179" s="34"/>
    </row>
    <row r="180" spans="15:18" x14ac:dyDescent="0.25">
      <c r="Q180" s="34"/>
      <c r="R180" s="34"/>
    </row>
    <row r="181" spans="15:18" x14ac:dyDescent="0.25">
      <c r="Q181" s="34"/>
      <c r="R181" s="34"/>
    </row>
    <row r="182" spans="15:18" x14ac:dyDescent="0.25">
      <c r="Q182" s="34"/>
      <c r="R182" s="34"/>
    </row>
    <row r="183" spans="15:18" x14ac:dyDescent="0.25">
      <c r="Q183" s="34"/>
      <c r="R183" s="34"/>
    </row>
    <row r="189" spans="15:18" x14ac:dyDescent="0.25">
      <c r="O189" s="34"/>
      <c r="P189" s="34"/>
    </row>
    <row r="190" spans="15:18" x14ac:dyDescent="0.25">
      <c r="O190" s="34"/>
      <c r="P190" s="34"/>
    </row>
    <row r="191" spans="15:18" x14ac:dyDescent="0.25">
      <c r="O191" s="34"/>
      <c r="P191" s="34"/>
    </row>
    <row r="192" spans="15:18" x14ac:dyDescent="0.25">
      <c r="O192" s="34"/>
      <c r="P192" s="34"/>
    </row>
    <row r="193" spans="15:17" x14ac:dyDescent="0.25">
      <c r="O193" s="34"/>
      <c r="P193" s="34"/>
    </row>
    <row r="194" spans="15:17" x14ac:dyDescent="0.25">
      <c r="O194" s="34"/>
      <c r="P194" s="34"/>
    </row>
    <row r="205" spans="15:17" x14ac:dyDescent="0.25">
      <c r="P205" s="34"/>
      <c r="Q205" s="34"/>
    </row>
    <row r="206" spans="15:17" x14ac:dyDescent="0.25">
      <c r="P206" s="34"/>
      <c r="Q206" s="34"/>
    </row>
    <row r="207" spans="15:17" x14ac:dyDescent="0.25">
      <c r="P207" s="34"/>
      <c r="Q207" s="34"/>
    </row>
    <row r="208" spans="15:17" x14ac:dyDescent="0.25">
      <c r="P208" s="34"/>
      <c r="Q208" s="34"/>
    </row>
    <row r="209" spans="15:17" x14ac:dyDescent="0.25">
      <c r="P209" s="34"/>
      <c r="Q209" s="34"/>
    </row>
    <row r="210" spans="15:17" x14ac:dyDescent="0.25">
      <c r="P210" s="34"/>
      <c r="Q210" s="34"/>
    </row>
    <row r="222" spans="15:17" x14ac:dyDescent="0.25">
      <c r="O222" s="34"/>
      <c r="P222" s="34"/>
    </row>
    <row r="223" spans="15:17" x14ac:dyDescent="0.25">
      <c r="O223" s="34"/>
      <c r="P223" s="34"/>
    </row>
    <row r="224" spans="15:17" x14ac:dyDescent="0.25">
      <c r="O224" s="34"/>
      <c r="P224" s="34"/>
    </row>
    <row r="225" spans="15:16" x14ac:dyDescent="0.25">
      <c r="O225" s="34"/>
      <c r="P225" s="34"/>
    </row>
    <row r="226" spans="15:16" x14ac:dyDescent="0.25">
      <c r="O226" s="34"/>
      <c r="P226" s="34"/>
    </row>
    <row r="227" spans="15:16" x14ac:dyDescent="0.25">
      <c r="O227" s="34"/>
      <c r="P227" s="34"/>
    </row>
  </sheetData>
  <autoFilter ref="A1:AP158" xr:uid="{A6C2E578-F796-410A-BA9C-307F1BD1FCCC}">
    <filterColumn colId="15">
      <filters blank="1"/>
    </filterColumn>
    <sortState xmlns:xlrd2="http://schemas.microsoft.com/office/spreadsheetml/2017/richdata2" ref="A2:AP158">
      <sortCondition ref="C1:C158"/>
    </sortState>
  </autoFilter>
  <hyperlinks>
    <hyperlink ref="M105" r:id="rId1" xr:uid="{6B9EF624-D7EB-44E2-A639-5AC173A80F97}"/>
    <hyperlink ref="M60" r:id="rId2" xr:uid="{83ABA286-CF62-4A48-B0F4-7C8E9336E197}"/>
    <hyperlink ref="M102" r:id="rId3" xr:uid="{50505C1F-B9AA-4CEA-AB1E-D2C8AA8D6B27}"/>
    <hyperlink ref="M61" r:id="rId4" xr:uid="{5A75A4D3-90B1-4D7B-BB36-A67C15EA18CF}"/>
    <hyperlink ref="M63" r:id="rId5" xr:uid="{32E3EC84-02F8-409D-AFB3-33674EEC75B9}"/>
    <hyperlink ref="M62" r:id="rId6" xr:uid="{7A7CF876-048E-4130-9D74-EE356992F05D}"/>
    <hyperlink ref="M57" r:id="rId7" xr:uid="{3DA23CB5-3EEA-485A-B194-E66E109014DB}"/>
    <hyperlink ref="M56" r:id="rId8" xr:uid="{85F49341-1B4D-4606-86B0-C8F60F4C031E}"/>
    <hyperlink ref="M46" r:id="rId9" xr:uid="{20D65E83-DE00-427A-A3E6-A56FE80641C0}"/>
    <hyperlink ref="M47" r:id="rId10" xr:uid="{2E9A0F45-8A7E-434B-AC7E-9CE183F9B1F9}"/>
    <hyperlink ref="M34" r:id="rId11" xr:uid="{8673F5D1-63D3-4E77-A9E7-6F6AE8238F18}"/>
    <hyperlink ref="M25" r:id="rId12" xr:uid="{78F8774A-773B-46AE-B83C-91102FF172E4}"/>
    <hyperlink ref="M17" r:id="rId13" xr:uid="{4C1A2584-41BD-4E5D-B110-8F40A5327274}"/>
    <hyperlink ref="M11" r:id="rId14" xr:uid="{90F1285E-528E-4079-8D75-22917AE9CCCB}"/>
    <hyperlink ref="M12" r:id="rId15" xr:uid="{52FF77EB-DBD8-4344-8084-0E366889F835}"/>
    <hyperlink ref="M148" r:id="rId16" xr:uid="{71A714D0-4579-40A1-A862-E1046E076CD1}"/>
    <hyperlink ref="M149" r:id="rId17" xr:uid="{7C9E7F47-B2FD-4F5D-8661-DC11A497643D}"/>
    <hyperlink ref="M150" r:id="rId18" xr:uid="{E5686197-5A21-4450-ADCA-1C36B93BCA39}"/>
    <hyperlink ref="M152" r:id="rId19" xr:uid="{5046729A-44EB-438B-8614-6A3F0C1FCEBA}"/>
    <hyperlink ref="M154" r:id="rId20" xr:uid="{64BAF62D-6010-4A23-A768-FFEE095C7FE9}"/>
    <hyperlink ref="M145" r:id="rId21" xr:uid="{39B81C45-B8EB-400C-979C-266221EED367}"/>
    <hyperlink ref="M147" r:id="rId22" xr:uid="{2573693B-94E4-46B5-BA33-A9FB0BC933A3}"/>
    <hyperlink ref="M129" r:id="rId23" xr:uid="{6BE79E38-1166-49B0-86A6-10F2928A4650}"/>
    <hyperlink ref="M130" r:id="rId24" xr:uid="{63354C6D-1979-4CBE-A46F-493D649F2F22}"/>
    <hyperlink ref="M127" r:id="rId25" xr:uid="{1EE2BEE7-1AFD-4668-B304-482C27FB7AA5}"/>
    <hyperlink ref="M120" r:id="rId26" xr:uid="{E688E6E8-E7FA-4664-86F5-709CEF2CBBFA}"/>
    <hyperlink ref="M112" r:id="rId27" xr:uid="{086BBA94-DC2A-47B0-8BCB-9265FE2CC283}"/>
    <hyperlink ref="M114" r:id="rId28" xr:uid="{962077F8-42C0-4A3C-A54B-D5C59859BC92}"/>
    <hyperlink ref="M115" r:id="rId29" xr:uid="{1F6D2B20-EF4E-46E5-AD17-4A6ECE839399}"/>
    <hyperlink ref="M118" r:id="rId30" xr:uid="{DD1FFC0C-7318-4009-B79D-832F1BCB48A5}"/>
    <hyperlink ref="M95" r:id="rId31" xr:uid="{0838A0C5-8565-4B6E-B006-393F777AF7A5}"/>
    <hyperlink ref="M98" r:id="rId32" xr:uid="{DB00B860-1BBB-40EA-A57B-A0B41F5DB6D5}"/>
    <hyperlink ref="M99" r:id="rId33" xr:uid="{59ACC914-8D82-4DBA-A031-B7ED9E85A0EB}"/>
    <hyperlink ref="M100" r:id="rId34" xr:uid="{279CADA5-04B5-45B7-A33D-3A914145C584}"/>
    <hyperlink ref="M101" r:id="rId35" xr:uid="{0EDB696B-34F9-4B12-A257-D10F8E4CF807}"/>
    <hyperlink ref="M103" r:id="rId36" xr:uid="{96C66867-9AA1-4C73-9D14-922C92265F98}"/>
    <hyperlink ref="M104" r:id="rId37" xr:uid="{BF09F6F4-D8AD-4626-BA2B-3EAD09C3A444}"/>
    <hyperlink ref="M88" r:id="rId38" xr:uid="{631CA67A-3BD5-44FB-819A-035E39806773}"/>
    <hyperlink ref="M91" r:id="rId39" xr:uid="{13A7248D-FE28-4894-8FB9-95C0187A5FB3}"/>
    <hyperlink ref="M92" r:id="rId40" xr:uid="{9F553317-D6C8-4BB8-A46F-071796587D5A}"/>
    <hyperlink ref="M93" r:id="rId41" xr:uid="{0298DB40-713F-4763-9E57-A3A08ADC1D98}"/>
    <hyperlink ref="M78" r:id="rId42" xr:uid="{4368CBF6-E52C-4F29-B42D-5A6A7692EF47}"/>
    <hyperlink ref="M80" r:id="rId43" xr:uid="{7E875606-C256-46DD-AE9D-05C7ACA64060}"/>
    <hyperlink ref="M83" r:id="rId44" xr:uid="{FEAE35CB-CC2F-4DDE-B3CA-04B7D772CFFE}"/>
    <hyperlink ref="M85" r:id="rId45" xr:uid="{C0130614-4830-488B-A509-130126691856}"/>
    <hyperlink ref="M87" r:id="rId46" xr:uid="{089F4C62-1C09-4824-8867-F68E884E4D4E}"/>
    <hyperlink ref="M76" r:id="rId47" xr:uid="{2DF42020-6810-43F7-9829-C82D6978C7C0}"/>
    <hyperlink ref="M67" r:id="rId48" xr:uid="{F1CF99C3-6DAA-401A-B42C-BE7879761402}"/>
    <hyperlink ref="M69" r:id="rId49" xr:uid="{C9F1BA05-1F06-4CBD-882B-C652C6C75336}"/>
    <hyperlink ref="M72" r:id="rId50" xr:uid="{B4F4FC50-6C90-4326-87F8-E5D447929344}"/>
    <hyperlink ref="M59" r:id="rId51" xr:uid="{9DDCD6CA-CAD0-491F-9DC6-831332DFAE10}"/>
    <hyperlink ref="M108" r:id="rId52" xr:uid="{49D93968-D27B-406F-A77B-3D9CF9BFC2E0}"/>
    <hyperlink ref="M54" r:id="rId53" xr:uid="{B06D679C-3F28-4F62-B853-4007196C8A92}"/>
    <hyperlink ref="M55" r:id="rId54" xr:uid="{9B3B304A-FA30-4B01-867D-83311565B00B}"/>
    <hyperlink ref="M48" r:id="rId55" xr:uid="{88811772-AC06-4533-B55E-88A0D57A063B}"/>
    <hyperlink ref="M29" r:id="rId56" xr:uid="{363D8410-B2CE-42FB-B725-2A2F64725544}"/>
    <hyperlink ref="M30" r:id="rId57" xr:uid="{60A3A15C-9DA2-4A5F-B773-0781E84A57CC}"/>
    <hyperlink ref="M32" r:id="rId58" xr:uid="{9C6B1595-9EE3-4CE3-8E63-4176F944158D}"/>
    <hyperlink ref="M33" r:id="rId59" xr:uid="{2FB6EAEE-6BDE-4E1A-B066-E36E79F46478}"/>
    <hyperlink ref="M35" r:id="rId60" xr:uid="{86ABA3B9-1DDF-4FA5-A277-CBEF559E9EF8}"/>
    <hyperlink ref="M39" r:id="rId61" xr:uid="{76020E1A-FDEB-4070-8726-C69A8CCCCD51}"/>
    <hyperlink ref="M40" r:id="rId62" xr:uid="{2A2857B0-541D-488D-99D0-FA57535922C3}"/>
    <hyperlink ref="M133" r:id="rId63" xr:uid="{51B781E1-521A-409A-BC80-39293EF41B7C}"/>
    <hyperlink ref="M21" r:id="rId64" xr:uid="{43A716A0-6C22-464D-BD70-DC3342E39067}"/>
    <hyperlink ref="M19" r:id="rId65" xr:uid="{16D07992-BC3D-4DBB-9137-9D0B2ECE8598}"/>
    <hyperlink ref="M18" r:id="rId66" xr:uid="{8047FDAD-4C39-4675-9ED0-32EEEC8C00AD}"/>
    <hyperlink ref="M15" r:id="rId67" xr:uid="{FDAAD0C6-C30F-4E19-A2A8-91212BB9EA1A}"/>
    <hyperlink ref="M14" r:id="rId68" xr:uid="{BF037983-CB70-40C8-A084-E25D432C0FA5}"/>
    <hyperlink ref="M10" r:id="rId69" xr:uid="{6608B90C-5A44-4B84-AAD6-0575A8045BB3}"/>
    <hyperlink ref="M6" r:id="rId70" xr:uid="{ADA0F0FC-C54B-424B-896A-19F2A53CA7DD}"/>
    <hyperlink ref="M8" r:id="rId71" xr:uid="{39EB7F3C-9765-44A9-9938-8FC24AE24C13}"/>
    <hyperlink ref="M5" r:id="rId72" xr:uid="{A730FA72-7D0B-47EF-AE4D-F24614C3AD83}"/>
    <hyperlink ref="M4" r:id="rId73" xr:uid="{8716BD83-1326-4FDD-80D8-9C950D06DE6E}"/>
    <hyperlink ref="M3" r:id="rId74" xr:uid="{C4AFE24F-EEB7-4DF0-B34C-69396AEA0B0E}"/>
    <hyperlink ref="M136" r:id="rId75" xr:uid="{E4A70106-F952-4F7E-B1EA-DB3FA973EBAA}"/>
    <hyperlink ref="M84" r:id="rId76" xr:uid="{18581C1A-06C7-47CB-BED1-41D27F6A4756}"/>
    <hyperlink ref="M158" r:id="rId77" xr:uid="{673A1DDF-C0C2-4F89-AFB2-31A55CB9929C}"/>
    <hyperlink ref="M13" r:id="rId78" xr:uid="{FB20B175-CB5C-440C-BCF2-DEC7F15417A9}"/>
  </hyperlinks>
  <pageMargins left="0.7" right="0.7" top="0.78740157499999996" bottom="0.78740157499999996" header="0.3" footer="0.3"/>
  <pageSetup paperSize="9" orientation="portrait" r:id="rId7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7F8890-1E2B-444D-9FFF-B1B33BCE5FF0}">
  <dimension ref="D8:E27"/>
  <sheetViews>
    <sheetView workbookViewId="0">
      <selection activeCell="E9" sqref="E9"/>
    </sheetView>
  </sheetViews>
  <sheetFormatPr baseColWidth="10" defaultRowHeight="15" x14ac:dyDescent="0.25"/>
  <cols>
    <col min="4" max="4" width="35.42578125" bestFit="1" customWidth="1"/>
  </cols>
  <sheetData>
    <row r="8" spans="4:5" x14ac:dyDescent="0.25">
      <c r="E8" t="s">
        <v>1468</v>
      </c>
    </row>
    <row r="11" spans="4:5" x14ac:dyDescent="0.25">
      <c r="D11" t="s">
        <v>1466</v>
      </c>
      <c r="E11" t="s">
        <v>1467</v>
      </c>
    </row>
    <row r="12" spans="4:5" x14ac:dyDescent="0.25">
      <c r="D12" t="s">
        <v>1454</v>
      </c>
    </row>
    <row r="13" spans="4:5" x14ac:dyDescent="0.25">
      <c r="D13" t="s">
        <v>1455</v>
      </c>
    </row>
    <row r="14" spans="4:5" x14ac:dyDescent="0.25">
      <c r="D14" t="s">
        <v>1462</v>
      </c>
    </row>
    <row r="17" spans="4:4" x14ac:dyDescent="0.25">
      <c r="D17" t="s">
        <v>1457</v>
      </c>
    </row>
    <row r="19" spans="4:4" x14ac:dyDescent="0.25">
      <c r="D19" t="s">
        <v>1458</v>
      </c>
    </row>
    <row r="21" spans="4:4" x14ac:dyDescent="0.25">
      <c r="D21" t="s">
        <v>1459</v>
      </c>
    </row>
    <row r="23" spans="4:4" x14ac:dyDescent="0.25">
      <c r="D23" t="s">
        <v>1460</v>
      </c>
    </row>
    <row r="27" spans="4:4" x14ac:dyDescent="0.25">
      <c r="D27" t="s">
        <v>1461</v>
      </c>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A2B1D-675F-4939-A00D-A1995DC17B8D}">
  <dimension ref="A5:B12"/>
  <sheetViews>
    <sheetView workbookViewId="0">
      <selection sqref="A1:XFD1048576"/>
    </sheetView>
  </sheetViews>
  <sheetFormatPr baseColWidth="10" defaultRowHeight="15" x14ac:dyDescent="0.25"/>
  <sheetData>
    <row r="5" spans="1:2" x14ac:dyDescent="0.25">
      <c r="B5" t="s">
        <v>1471</v>
      </c>
    </row>
    <row r="6" spans="1:2" x14ac:dyDescent="0.25">
      <c r="A6" t="s">
        <v>1472</v>
      </c>
      <c r="B6" t="s">
        <v>1371</v>
      </c>
    </row>
    <row r="7" spans="1:2" x14ac:dyDescent="0.25">
      <c r="A7" t="s">
        <v>1473</v>
      </c>
      <c r="B7" t="s">
        <v>1371</v>
      </c>
    </row>
    <row r="8" spans="1:2" x14ac:dyDescent="0.25">
      <c r="A8" t="s">
        <v>1474</v>
      </c>
      <c r="B8" t="s">
        <v>1371</v>
      </c>
    </row>
    <row r="9" spans="1:2" x14ac:dyDescent="0.25">
      <c r="A9" t="s">
        <v>1475</v>
      </c>
    </row>
    <row r="10" spans="1:2" x14ac:dyDescent="0.25">
      <c r="A10" t="s">
        <v>1476</v>
      </c>
      <c r="B10" t="s">
        <v>1371</v>
      </c>
    </row>
    <row r="11" spans="1:2" x14ac:dyDescent="0.25">
      <c r="A11" t="s">
        <v>1477</v>
      </c>
      <c r="B11" t="s">
        <v>1371</v>
      </c>
    </row>
    <row r="12" spans="1:2" x14ac:dyDescent="0.25">
      <c r="A12" t="s">
        <v>1478</v>
      </c>
      <c r="B12" t="s">
        <v>1371</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8B4EE-B9E6-4CA6-86F0-BEE29D674FF9}">
  <dimension ref="K7:L56"/>
  <sheetViews>
    <sheetView workbookViewId="0">
      <selection activeCell="H15" sqref="H15"/>
    </sheetView>
  </sheetViews>
  <sheetFormatPr baseColWidth="10" defaultRowHeight="15" x14ac:dyDescent="0.25"/>
  <sheetData>
    <row r="7" spans="11:12" x14ac:dyDescent="0.25">
      <c r="K7" t="s">
        <v>1479</v>
      </c>
    </row>
    <row r="12" spans="11:12" x14ac:dyDescent="0.25">
      <c r="L12" t="s">
        <v>1480</v>
      </c>
    </row>
    <row r="13" spans="11:12" x14ac:dyDescent="0.25">
      <c r="K13" t="s">
        <v>1481</v>
      </c>
      <c r="L13" t="s">
        <v>1482</v>
      </c>
    </row>
    <row r="14" spans="11:12" x14ac:dyDescent="0.25">
      <c r="K14" t="s">
        <v>1481</v>
      </c>
      <c r="L14" t="s">
        <v>1483</v>
      </c>
    </row>
    <row r="21" spans="11:12" x14ac:dyDescent="0.25">
      <c r="L21" t="s">
        <v>1484</v>
      </c>
    </row>
    <row r="22" spans="11:12" x14ac:dyDescent="0.25">
      <c r="K22" t="s">
        <v>1481</v>
      </c>
      <c r="L22" t="s">
        <v>1485</v>
      </c>
    </row>
    <row r="31" spans="11:12" x14ac:dyDescent="0.25">
      <c r="L31" t="s">
        <v>1484</v>
      </c>
    </row>
    <row r="32" spans="11:12" x14ac:dyDescent="0.25">
      <c r="K32" t="s">
        <v>1481</v>
      </c>
      <c r="L32" t="s">
        <v>1486</v>
      </c>
    </row>
    <row r="33" spans="11:12" x14ac:dyDescent="0.25">
      <c r="K33" t="s">
        <v>1487</v>
      </c>
      <c r="L33" t="s">
        <v>1488</v>
      </c>
    </row>
    <row r="34" spans="11:12" ht="15.75" x14ac:dyDescent="0.25">
      <c r="L34" s="30" t="s">
        <v>1489</v>
      </c>
    </row>
    <row r="35" spans="11:12" ht="15.75" x14ac:dyDescent="0.25">
      <c r="L35" s="30" t="s">
        <v>1490</v>
      </c>
    </row>
    <row r="36" spans="11:12" ht="15.75" x14ac:dyDescent="0.25">
      <c r="L36" s="30" t="s">
        <v>1491</v>
      </c>
    </row>
    <row r="37" spans="11:12" ht="15.75" x14ac:dyDescent="0.25">
      <c r="L37" s="30" t="s">
        <v>1492</v>
      </c>
    </row>
    <row r="38" spans="11:12" ht="15.75" x14ac:dyDescent="0.25">
      <c r="L38" s="30" t="s">
        <v>1493</v>
      </c>
    </row>
    <row r="39" spans="11:12" ht="15.75" x14ac:dyDescent="0.25">
      <c r="L39" s="30" t="s">
        <v>1494</v>
      </c>
    </row>
    <row r="40" spans="11:12" ht="15.75" x14ac:dyDescent="0.25">
      <c r="L40" s="30" t="s">
        <v>1495</v>
      </c>
    </row>
    <row r="41" spans="11:12" ht="15.75" x14ac:dyDescent="0.25">
      <c r="L41" s="30" t="s">
        <v>1496</v>
      </c>
    </row>
    <row r="42" spans="11:12" ht="15.75" x14ac:dyDescent="0.25">
      <c r="L42" s="30" t="s">
        <v>1497</v>
      </c>
    </row>
    <row r="45" spans="11:12" x14ac:dyDescent="0.25">
      <c r="L45" t="s">
        <v>1484</v>
      </c>
    </row>
    <row r="46" spans="11:12" x14ac:dyDescent="0.25">
      <c r="K46" t="s">
        <v>1481</v>
      </c>
      <c r="L46" t="s">
        <v>1482</v>
      </c>
    </row>
    <row r="52" spans="11:12" ht="15.75" x14ac:dyDescent="0.25">
      <c r="L52" s="30" t="s">
        <v>1498</v>
      </c>
    </row>
    <row r="53" spans="11:12" ht="15.75" x14ac:dyDescent="0.25">
      <c r="K53" t="s">
        <v>1481</v>
      </c>
      <c r="L53" s="30" t="s">
        <v>1483</v>
      </c>
    </row>
    <row r="54" spans="11:12" ht="15.75" x14ac:dyDescent="0.25">
      <c r="K54" t="s">
        <v>1481</v>
      </c>
      <c r="L54" s="30" t="s">
        <v>1484</v>
      </c>
    </row>
    <row r="55" spans="11:12" ht="15.75" x14ac:dyDescent="0.25">
      <c r="K55" t="s">
        <v>1481</v>
      </c>
      <c r="L55" s="30" t="s">
        <v>1499</v>
      </c>
    </row>
    <row r="56" spans="11:12" ht="15.75" x14ac:dyDescent="0.25">
      <c r="K56" t="s">
        <v>1487</v>
      </c>
      <c r="L56" s="30" t="s">
        <v>1500</v>
      </c>
    </row>
  </sheetData>
  <pageMargins left="0.7" right="0.7" top="0.78740157499999996" bottom="0.78740157499999996"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158"/>
  <sheetViews>
    <sheetView topLeftCell="A79" zoomScale="55" zoomScaleNormal="55" workbookViewId="0">
      <selection activeCell="M82" sqref="A1:XFD1048576"/>
    </sheetView>
  </sheetViews>
  <sheetFormatPr baseColWidth="10" defaultColWidth="9.140625" defaultRowHeight="15" x14ac:dyDescent="0.25"/>
  <cols>
    <col min="1" max="1" width="14.28515625" customWidth="1"/>
    <col min="2" max="2" width="39.140625" customWidth="1"/>
    <col min="3" max="3" width="9.5703125" bestFit="1" customWidth="1"/>
    <col min="4" max="4" width="34.28515625" customWidth="1"/>
    <col min="5" max="5" width="14.85546875" customWidth="1"/>
    <col min="6" max="6" width="5.7109375" customWidth="1"/>
    <col min="7" max="7" width="11.7109375" customWidth="1"/>
    <col min="8" max="8" width="9.7109375" customWidth="1"/>
    <col min="9" max="9" width="9.140625" customWidth="1"/>
    <col min="10" max="10" width="10.7109375" customWidth="1"/>
    <col min="11" max="11" width="8.28515625" customWidth="1"/>
    <col min="12" max="12" width="20.5703125" customWidth="1"/>
    <col min="13" max="13" width="20.140625" customWidth="1"/>
    <col min="14" max="14" width="123.140625" bestFit="1" customWidth="1"/>
    <col min="15" max="15" width="11.7109375" customWidth="1"/>
    <col min="16" max="17" width="19.28515625" customWidth="1"/>
    <col min="18" max="19" width="10.140625" customWidth="1"/>
    <col min="20" max="20" width="20.85546875" bestFit="1" customWidth="1"/>
    <col min="21" max="21" width="123.140625" customWidth="1"/>
    <col min="22" max="22" width="17.42578125" customWidth="1"/>
    <col min="23" max="23" width="31.85546875" customWidth="1"/>
    <col min="24" max="24" width="47.85546875" customWidth="1"/>
    <col min="25" max="25" width="18" bestFit="1" customWidth="1"/>
    <col min="26" max="26" width="16.42578125" bestFit="1" customWidth="1"/>
    <col min="27" max="27" width="15.5703125" customWidth="1"/>
    <col min="28" max="28" width="7.140625" bestFit="1" customWidth="1"/>
    <col min="29" max="29" width="18" bestFit="1" customWidth="1"/>
  </cols>
  <sheetData>
    <row r="1" spans="1:29"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1349</v>
      </c>
      <c r="P1" s="1" t="s">
        <v>1370</v>
      </c>
      <c r="Q1" s="1" t="s">
        <v>1372</v>
      </c>
      <c r="R1" s="1" t="s">
        <v>1358</v>
      </c>
      <c r="S1" s="1" t="s">
        <v>1375</v>
      </c>
      <c r="T1" s="1" t="s">
        <v>1416</v>
      </c>
      <c r="U1" s="1" t="s">
        <v>1347</v>
      </c>
      <c r="V1" s="1" t="s">
        <v>14</v>
      </c>
      <c r="W1" s="1" t="s">
        <v>15</v>
      </c>
      <c r="X1" s="1" t="s">
        <v>16</v>
      </c>
      <c r="Y1" s="1" t="s">
        <v>17</v>
      </c>
      <c r="Z1" s="1" t="s">
        <v>18</v>
      </c>
      <c r="AA1" s="1" t="s">
        <v>19</v>
      </c>
      <c r="AB1" s="1" t="s">
        <v>20</v>
      </c>
      <c r="AC1" s="1" t="s">
        <v>21</v>
      </c>
    </row>
    <row r="2" spans="1:29" ht="135" x14ac:dyDescent="0.25">
      <c r="A2" t="s">
        <v>1420</v>
      </c>
      <c r="B2" s="4" t="s">
        <v>1421</v>
      </c>
      <c r="C2" s="27"/>
      <c r="D2" s="2" t="s">
        <v>1432</v>
      </c>
      <c r="E2">
        <v>2019</v>
      </c>
      <c r="F2" s="27"/>
      <c r="G2" s="27"/>
      <c r="H2" s="27"/>
      <c r="I2" s="27"/>
      <c r="J2" s="27"/>
      <c r="K2" s="27"/>
      <c r="L2" t="s">
        <v>1447</v>
      </c>
      <c r="M2" s="27"/>
      <c r="N2" s="2" t="s">
        <v>1428</v>
      </c>
      <c r="O2" s="27" t="s">
        <v>1350</v>
      </c>
      <c r="P2" s="27"/>
      <c r="Q2" s="27"/>
      <c r="R2" s="27"/>
      <c r="S2" s="27"/>
      <c r="T2" s="27"/>
      <c r="U2" s="27"/>
      <c r="V2" s="27"/>
      <c r="W2" s="27"/>
      <c r="X2" s="27"/>
      <c r="Y2" s="27"/>
      <c r="Z2" s="27"/>
      <c r="AA2" s="27"/>
      <c r="AB2" s="27"/>
      <c r="AC2" s="27"/>
    </row>
    <row r="3" spans="1:29" ht="150" x14ac:dyDescent="0.25">
      <c r="A3" t="s">
        <v>1422</v>
      </c>
      <c r="B3" s="4" t="s">
        <v>1423</v>
      </c>
      <c r="C3" s="27"/>
      <c r="D3" s="2" t="s">
        <v>1433</v>
      </c>
      <c r="E3">
        <v>2009</v>
      </c>
      <c r="F3" s="27"/>
      <c r="G3" s="27"/>
      <c r="H3" s="27"/>
      <c r="I3" s="27"/>
      <c r="J3" s="27"/>
      <c r="K3" s="27"/>
      <c r="L3" t="s">
        <v>1448</v>
      </c>
      <c r="M3" s="27"/>
      <c r="N3" s="2" t="s">
        <v>1429</v>
      </c>
      <c r="O3" s="27" t="s">
        <v>1350</v>
      </c>
      <c r="P3" s="27"/>
      <c r="Q3" s="27"/>
      <c r="R3" s="27"/>
      <c r="S3" s="27"/>
      <c r="T3" s="27"/>
      <c r="U3" s="27"/>
      <c r="V3" s="27"/>
      <c r="W3" s="27"/>
      <c r="X3" s="27"/>
      <c r="Y3" s="27"/>
      <c r="Z3" s="27"/>
      <c r="AA3" s="27"/>
      <c r="AB3" s="27"/>
      <c r="AC3" s="27"/>
    </row>
    <row r="4" spans="1:29" ht="90" x14ac:dyDescent="0.25">
      <c r="A4" t="s">
        <v>1424</v>
      </c>
      <c r="B4" s="4" t="s">
        <v>1425</v>
      </c>
      <c r="C4" s="27"/>
      <c r="D4" s="2" t="s">
        <v>1434</v>
      </c>
      <c r="E4">
        <v>2010</v>
      </c>
      <c r="F4" s="27"/>
      <c r="G4" s="27"/>
      <c r="H4" s="27"/>
      <c r="I4" s="27"/>
      <c r="J4" s="27"/>
      <c r="K4" s="27"/>
      <c r="L4" t="s">
        <v>1449</v>
      </c>
      <c r="M4" s="27"/>
      <c r="N4" s="2" t="s">
        <v>1430</v>
      </c>
      <c r="O4" s="27" t="s">
        <v>1350</v>
      </c>
      <c r="P4" s="27"/>
      <c r="Q4" s="27"/>
      <c r="R4" s="27"/>
      <c r="S4" s="27"/>
      <c r="T4" s="27"/>
      <c r="U4" s="27"/>
      <c r="V4" s="27"/>
      <c r="W4" s="27"/>
      <c r="X4" s="27"/>
      <c r="Y4" s="27"/>
      <c r="Z4" s="27"/>
      <c r="AA4" s="27"/>
      <c r="AB4" s="27"/>
      <c r="AC4" s="27"/>
    </row>
    <row r="5" spans="1:29" ht="60" x14ac:dyDescent="0.25">
      <c r="A5" t="s">
        <v>1426</v>
      </c>
      <c r="B5" s="4" t="s">
        <v>1427</v>
      </c>
      <c r="C5" s="27"/>
      <c r="D5" s="2" t="s">
        <v>1434</v>
      </c>
      <c r="E5">
        <v>2007</v>
      </c>
      <c r="F5" s="27"/>
      <c r="G5" s="27"/>
      <c r="H5" s="27"/>
      <c r="I5" s="27"/>
      <c r="J5" s="27"/>
      <c r="K5" s="27"/>
      <c r="L5" t="s">
        <v>1450</v>
      </c>
      <c r="M5" s="27"/>
      <c r="N5" s="2" t="s">
        <v>1431</v>
      </c>
      <c r="O5" s="27" t="s">
        <v>1350</v>
      </c>
      <c r="P5" s="27"/>
      <c r="Q5" s="27"/>
      <c r="R5" s="27"/>
      <c r="S5" s="27"/>
      <c r="T5" s="27"/>
      <c r="U5" s="27"/>
      <c r="V5" s="27"/>
      <c r="W5" s="27"/>
      <c r="X5" s="27"/>
      <c r="Y5" s="27"/>
      <c r="Z5" s="27"/>
      <c r="AA5" s="27"/>
      <c r="AB5" s="27"/>
      <c r="AC5" s="27"/>
    </row>
    <row r="6" spans="1:29" ht="105" x14ac:dyDescent="0.25">
      <c r="A6" t="s">
        <v>1435</v>
      </c>
      <c r="B6" s="4" t="s">
        <v>1436</v>
      </c>
      <c r="D6" s="2" t="s">
        <v>1437</v>
      </c>
      <c r="E6">
        <v>2023</v>
      </c>
      <c r="F6" s="27"/>
      <c r="G6" s="27"/>
      <c r="H6" s="27"/>
      <c r="I6" s="27"/>
      <c r="J6" s="27"/>
      <c r="K6" s="27"/>
      <c r="L6" t="s">
        <v>1451</v>
      </c>
      <c r="M6" s="27"/>
      <c r="N6" s="2" t="s">
        <v>1438</v>
      </c>
      <c r="O6" s="27" t="s">
        <v>1350</v>
      </c>
      <c r="P6" s="27"/>
      <c r="Q6" s="27"/>
      <c r="R6" s="27"/>
      <c r="S6" s="27"/>
      <c r="T6" s="27"/>
      <c r="U6" s="27"/>
      <c r="V6" s="27"/>
      <c r="W6" s="27"/>
      <c r="X6" s="27"/>
      <c r="Y6" s="27"/>
      <c r="Z6" s="27"/>
      <c r="AA6" s="27"/>
      <c r="AB6" s="27"/>
      <c r="AC6" s="27"/>
    </row>
    <row r="7" spans="1:29" ht="150" x14ac:dyDescent="0.25">
      <c r="A7" t="s">
        <v>1439</v>
      </c>
      <c r="B7" s="4" t="s">
        <v>1440</v>
      </c>
      <c r="D7" s="2" t="s">
        <v>1441</v>
      </c>
      <c r="E7">
        <v>2010</v>
      </c>
      <c r="F7" s="27"/>
      <c r="G7" s="27"/>
      <c r="H7" s="27"/>
      <c r="I7" s="27"/>
      <c r="J7" s="27"/>
      <c r="K7" s="27"/>
      <c r="L7" s="27"/>
      <c r="M7" s="27"/>
      <c r="N7" s="2" t="s">
        <v>1445</v>
      </c>
      <c r="O7" s="27" t="s">
        <v>1350</v>
      </c>
      <c r="P7" s="27"/>
      <c r="Q7" s="27"/>
      <c r="R7" s="27"/>
      <c r="S7" s="28" t="s">
        <v>1415</v>
      </c>
      <c r="T7" s="27"/>
      <c r="U7" s="27"/>
      <c r="V7" s="27"/>
      <c r="W7" s="27"/>
      <c r="X7" s="27"/>
      <c r="Y7" s="27"/>
      <c r="Z7" s="27"/>
      <c r="AA7" s="27"/>
      <c r="AB7" s="27"/>
      <c r="AC7" s="27"/>
    </row>
    <row r="8" spans="1:29" ht="150" x14ac:dyDescent="0.25">
      <c r="A8" t="s">
        <v>1442</v>
      </c>
      <c r="B8" s="4" t="s">
        <v>1443</v>
      </c>
      <c r="D8" s="2" t="s">
        <v>1444</v>
      </c>
      <c r="E8">
        <v>2013</v>
      </c>
      <c r="F8" s="27"/>
      <c r="G8" s="27"/>
      <c r="H8" s="27"/>
      <c r="I8" s="27"/>
      <c r="J8" s="27"/>
      <c r="K8" s="27"/>
      <c r="L8" s="27"/>
      <c r="M8" s="27"/>
      <c r="N8" s="2" t="s">
        <v>1446</v>
      </c>
      <c r="O8" s="27" t="s">
        <v>1350</v>
      </c>
      <c r="P8" s="27"/>
      <c r="Q8" s="27"/>
      <c r="R8" s="27"/>
      <c r="S8" s="27"/>
      <c r="T8" s="27"/>
      <c r="U8" s="27"/>
      <c r="V8" s="27"/>
      <c r="W8" s="27"/>
      <c r="X8" s="27"/>
      <c r="Y8" s="27"/>
      <c r="Z8" s="27"/>
      <c r="AA8" s="27"/>
      <c r="AB8" s="27"/>
      <c r="AC8" s="27"/>
    </row>
    <row r="9" spans="1:29" x14ac:dyDescent="0.25">
      <c r="A9" s="27"/>
      <c r="B9" s="27"/>
      <c r="C9" s="27"/>
      <c r="D9" s="27"/>
      <c r="E9" s="27"/>
      <c r="F9" s="27"/>
      <c r="G9" s="27"/>
      <c r="H9" s="27"/>
      <c r="I9" s="27"/>
      <c r="J9" s="27"/>
      <c r="K9" s="27"/>
      <c r="L9" s="27"/>
      <c r="M9" s="27"/>
      <c r="N9" s="27"/>
      <c r="O9" s="27"/>
      <c r="P9" s="27"/>
      <c r="Q9" s="27"/>
      <c r="R9" s="27"/>
      <c r="S9" s="27"/>
      <c r="T9" s="27"/>
      <c r="U9" s="27"/>
      <c r="V9" s="27"/>
      <c r="W9" s="27"/>
      <c r="X9" s="27"/>
      <c r="Y9" s="27"/>
      <c r="Z9" s="27"/>
      <c r="AA9" s="27"/>
      <c r="AB9" s="27"/>
      <c r="AC9" s="27"/>
    </row>
    <row r="10" spans="1:29" ht="409.5" x14ac:dyDescent="0.25">
      <c r="A10" s="7" t="s">
        <v>1376</v>
      </c>
      <c r="B10" s="7" t="s">
        <v>1377</v>
      </c>
      <c r="C10" s="7">
        <v>2026</v>
      </c>
      <c r="D10" s="7" t="s">
        <v>45</v>
      </c>
      <c r="E10" s="7" t="s">
        <v>1378</v>
      </c>
      <c r="F10" s="7"/>
      <c r="G10" s="7">
        <v>114081</v>
      </c>
      <c r="H10" s="7"/>
      <c r="I10" s="7"/>
      <c r="J10" s="7"/>
      <c r="K10" s="7"/>
      <c r="L10" s="7" t="s">
        <v>1379</v>
      </c>
      <c r="M10" s="22" t="s">
        <v>1380</v>
      </c>
      <c r="N10" s="7" t="s">
        <v>1381</v>
      </c>
      <c r="O10" s="7" t="s">
        <v>1351</v>
      </c>
      <c r="P10" s="7" t="s">
        <v>1350</v>
      </c>
      <c r="Q10" s="2"/>
      <c r="R10" s="2"/>
      <c r="S10" s="2"/>
      <c r="T10" s="2" t="s">
        <v>1371</v>
      </c>
      <c r="U10" s="2"/>
      <c r="V10" s="2" t="s">
        <v>1382</v>
      </c>
      <c r="W10" s="2" t="s">
        <v>1383</v>
      </c>
      <c r="X10" s="2" t="s">
        <v>1384</v>
      </c>
      <c r="Y10" s="2" t="s">
        <v>1385</v>
      </c>
      <c r="Z10" s="2" t="s">
        <v>23</v>
      </c>
      <c r="AA10" s="2" t="s">
        <v>24</v>
      </c>
      <c r="AB10" s="2" t="s">
        <v>1386</v>
      </c>
      <c r="AC10" s="2" t="s">
        <v>25</v>
      </c>
    </row>
    <row r="11" spans="1:29" ht="180" x14ac:dyDescent="0.25">
      <c r="A11" s="4" t="s">
        <v>1417</v>
      </c>
      <c r="B11" s="4" t="s">
        <v>1418</v>
      </c>
      <c r="C11" s="4">
        <v>2025</v>
      </c>
      <c r="D11" s="4" t="s">
        <v>187</v>
      </c>
      <c r="E11" s="4">
        <v>552</v>
      </c>
      <c r="F11" s="4"/>
      <c r="G11" s="4"/>
      <c r="H11" s="4"/>
      <c r="I11" s="4"/>
      <c r="J11" s="4"/>
      <c r="K11" s="4"/>
      <c r="L11" s="4"/>
      <c r="M11" s="26"/>
      <c r="N11" s="4" t="s">
        <v>1419</v>
      </c>
      <c r="O11" s="2" t="s">
        <v>1351</v>
      </c>
      <c r="P11" s="2" t="s">
        <v>1350</v>
      </c>
      <c r="Q11" s="2"/>
      <c r="R11" s="2"/>
      <c r="S11" s="2"/>
      <c r="T11" s="2"/>
      <c r="U11" s="2"/>
      <c r="V11" s="2"/>
      <c r="W11" s="2"/>
      <c r="X11" s="2"/>
      <c r="Y11" s="2"/>
      <c r="Z11" s="2"/>
      <c r="AA11" s="2"/>
      <c r="AB11" s="2"/>
      <c r="AC11" s="2"/>
    </row>
    <row r="12" spans="1:29" ht="240" x14ac:dyDescent="0.25">
      <c r="A12" s="2" t="s">
        <v>508</v>
      </c>
      <c r="B12" s="2" t="s">
        <v>509</v>
      </c>
      <c r="C12" s="2">
        <v>2025</v>
      </c>
      <c r="D12" s="2" t="s">
        <v>187</v>
      </c>
      <c r="E12" s="2" t="s">
        <v>510</v>
      </c>
      <c r="F12" s="2"/>
      <c r="G12" s="2"/>
      <c r="H12" s="2">
        <v>73</v>
      </c>
      <c r="I12" s="2">
        <v>79</v>
      </c>
      <c r="J12" s="2">
        <v>6</v>
      </c>
      <c r="K12" s="2">
        <v>0</v>
      </c>
      <c r="L12" s="2" t="s">
        <v>511</v>
      </c>
      <c r="M12" t="s">
        <v>512</v>
      </c>
      <c r="N12" s="14" t="s">
        <v>513</v>
      </c>
      <c r="O12" s="2" t="s">
        <v>1351</v>
      </c>
      <c r="P12" s="2" t="s">
        <v>1350</v>
      </c>
      <c r="Q12" s="2"/>
      <c r="R12" s="2" t="s">
        <v>1359</v>
      </c>
      <c r="S12" s="2"/>
      <c r="T12" s="2"/>
      <c r="U12" s="2"/>
      <c r="V12" s="2" t="s">
        <v>514</v>
      </c>
      <c r="W12" s="2" t="s">
        <v>515</v>
      </c>
      <c r="X12" t="s">
        <v>516</v>
      </c>
      <c r="Y12" s="2" t="s">
        <v>29</v>
      </c>
      <c r="Z12" s="2" t="s">
        <v>24</v>
      </c>
      <c r="AA12" s="2"/>
      <c r="AB12" s="2" t="s">
        <v>25</v>
      </c>
      <c r="AC12" s="2" t="s">
        <v>517</v>
      </c>
    </row>
    <row r="13" spans="1:29" ht="409.5" x14ac:dyDescent="0.25">
      <c r="A13" s="2" t="s">
        <v>1388</v>
      </c>
      <c r="B13" s="2" t="s">
        <v>1389</v>
      </c>
      <c r="C13" s="2">
        <v>2025</v>
      </c>
      <c r="D13" s="2" t="s">
        <v>175</v>
      </c>
      <c r="E13" s="2" t="s">
        <v>1390</v>
      </c>
      <c r="F13" s="2"/>
      <c r="G13" s="2">
        <v>115816</v>
      </c>
      <c r="H13" s="2"/>
      <c r="I13" s="2"/>
      <c r="J13" s="2"/>
      <c r="K13" s="2">
        <v>3</v>
      </c>
      <c r="L13" s="2" t="s">
        <v>1391</v>
      </c>
      <c r="M13" t="s">
        <v>1392</v>
      </c>
      <c r="N13" s="21" t="s">
        <v>1393</v>
      </c>
      <c r="O13" s="2" t="s">
        <v>1351</v>
      </c>
      <c r="P13" s="2" t="s">
        <v>1350</v>
      </c>
      <c r="Q13" s="2"/>
      <c r="R13" s="2"/>
      <c r="S13" s="2"/>
      <c r="T13" s="2"/>
      <c r="U13" s="2"/>
      <c r="V13" s="2" t="s">
        <v>1394</v>
      </c>
      <c r="W13" s="2" t="s">
        <v>1395</v>
      </c>
      <c r="X13" s="2" t="s">
        <v>1396</v>
      </c>
      <c r="Y13" s="2" t="s">
        <v>1397</v>
      </c>
      <c r="Z13" s="2" t="s">
        <v>23</v>
      </c>
      <c r="AA13" s="2" t="s">
        <v>24</v>
      </c>
      <c r="AB13" s="2"/>
      <c r="AC13" s="2" t="s">
        <v>25</v>
      </c>
    </row>
    <row r="14" spans="1:29" ht="409.5" x14ac:dyDescent="0.25">
      <c r="A14" s="2" t="s">
        <v>1400</v>
      </c>
      <c r="B14" s="2" t="s">
        <v>1401</v>
      </c>
      <c r="C14" s="2">
        <v>2025</v>
      </c>
      <c r="D14" s="2" t="s">
        <v>187</v>
      </c>
      <c r="E14" s="2" t="s">
        <v>1402</v>
      </c>
      <c r="F14" s="2"/>
      <c r="G14" s="2"/>
      <c r="H14" s="2">
        <v>286</v>
      </c>
      <c r="I14" s="2">
        <v>299</v>
      </c>
      <c r="J14" s="2"/>
      <c r="K14" s="2"/>
      <c r="L14" s="2" t="s">
        <v>1403</v>
      </c>
      <c r="M14" s="12" t="s">
        <v>1404</v>
      </c>
      <c r="N14" s="21" t="s">
        <v>1405</v>
      </c>
      <c r="O14" s="2" t="s">
        <v>1351</v>
      </c>
      <c r="P14" s="2" t="s">
        <v>1350</v>
      </c>
      <c r="Q14" s="2" t="s">
        <v>1371</v>
      </c>
      <c r="R14" s="2"/>
      <c r="S14" s="2"/>
      <c r="T14" s="2"/>
      <c r="U14" s="2"/>
      <c r="V14" s="2" t="s">
        <v>1406</v>
      </c>
      <c r="W14" s="2" t="s">
        <v>1407</v>
      </c>
      <c r="X14" s="2" t="s">
        <v>1408</v>
      </c>
      <c r="Y14" s="2" t="s">
        <v>1409</v>
      </c>
      <c r="Z14" s="2" t="s">
        <v>1410</v>
      </c>
      <c r="AA14" s="2" t="s">
        <v>24</v>
      </c>
      <c r="AB14" s="2"/>
      <c r="AC14" s="2" t="s">
        <v>25</v>
      </c>
    </row>
    <row r="15" spans="1:29" ht="135" x14ac:dyDescent="0.25">
      <c r="A15" s="2" t="s">
        <v>185</v>
      </c>
      <c r="B15" s="2" t="s">
        <v>186</v>
      </c>
      <c r="C15" s="2">
        <v>2024</v>
      </c>
      <c r="D15" s="2" t="s">
        <v>187</v>
      </c>
      <c r="E15" s="2" t="s">
        <v>188</v>
      </c>
      <c r="F15" s="2"/>
      <c r="G15" s="2"/>
      <c r="H15" s="2">
        <v>11</v>
      </c>
      <c r="I15" s="2">
        <v>22</v>
      </c>
      <c r="J15" s="2">
        <v>11</v>
      </c>
      <c r="K15" s="2">
        <v>0</v>
      </c>
      <c r="L15" s="2" t="s">
        <v>189</v>
      </c>
      <c r="M15" s="12" t="s">
        <v>190</v>
      </c>
      <c r="N15" s="14" t="s">
        <v>191</v>
      </c>
      <c r="O15" s="2" t="s">
        <v>1351</v>
      </c>
      <c r="P15" s="2" t="s">
        <v>1350</v>
      </c>
      <c r="Q15" s="2"/>
      <c r="R15" s="2" t="s">
        <v>1359</v>
      </c>
      <c r="S15" s="2"/>
      <c r="T15" s="2"/>
      <c r="U15" s="2"/>
      <c r="V15" s="2" t="s">
        <v>192</v>
      </c>
      <c r="W15" s="2" t="s">
        <v>193</v>
      </c>
      <c r="X15" t="s">
        <v>194</v>
      </c>
      <c r="Y15" s="2" t="s">
        <v>29</v>
      </c>
      <c r="Z15" s="2" t="s">
        <v>24</v>
      </c>
      <c r="AA15" s="2"/>
      <c r="AB15" s="2" t="s">
        <v>25</v>
      </c>
      <c r="AC15" s="2" t="s">
        <v>195</v>
      </c>
    </row>
    <row r="16" spans="1:29" ht="210" x14ac:dyDescent="0.25">
      <c r="A16" s="2" t="s">
        <v>237</v>
      </c>
      <c r="B16" s="2" t="s">
        <v>238</v>
      </c>
      <c r="C16" s="2">
        <v>2024</v>
      </c>
      <c r="D16" s="2" t="s">
        <v>33</v>
      </c>
      <c r="E16" s="2" t="s">
        <v>239</v>
      </c>
      <c r="F16" s="2"/>
      <c r="G16" s="2" t="s">
        <v>240</v>
      </c>
      <c r="H16" s="2"/>
      <c r="I16" s="2"/>
      <c r="J16" s="2"/>
      <c r="K16" s="2">
        <v>0</v>
      </c>
      <c r="L16" s="2" t="s">
        <v>241</v>
      </c>
      <c r="M16" s="12" t="s">
        <v>242</v>
      </c>
      <c r="N16" s="14" t="s">
        <v>243</v>
      </c>
      <c r="O16" s="2" t="s">
        <v>1351</v>
      </c>
      <c r="P16" s="2" t="s">
        <v>1350</v>
      </c>
      <c r="Q16" s="2"/>
      <c r="R16" s="2" t="s">
        <v>1359</v>
      </c>
      <c r="S16" s="2"/>
      <c r="T16" s="2"/>
      <c r="U16" s="2"/>
      <c r="V16" s="2" t="s">
        <v>244</v>
      </c>
      <c r="W16" s="2" t="s">
        <v>245</v>
      </c>
      <c r="X16" t="s">
        <v>246</v>
      </c>
      <c r="Y16" s="2" t="s">
        <v>23</v>
      </c>
      <c r="Z16" s="2" t="s">
        <v>24</v>
      </c>
      <c r="AA16" s="2" t="s">
        <v>67</v>
      </c>
      <c r="AB16" s="2" t="s">
        <v>25</v>
      </c>
      <c r="AC16" s="2" t="s">
        <v>247</v>
      </c>
    </row>
    <row r="17" spans="1:29" ht="180" x14ac:dyDescent="0.25">
      <c r="A17" s="2" t="s">
        <v>334</v>
      </c>
      <c r="B17" s="2" t="s">
        <v>335</v>
      </c>
      <c r="C17" s="2">
        <v>2024</v>
      </c>
      <c r="D17" s="2" t="s">
        <v>336</v>
      </c>
      <c r="E17" s="2" t="s">
        <v>337</v>
      </c>
      <c r="F17" s="2"/>
      <c r="G17" s="2" t="s">
        <v>338</v>
      </c>
      <c r="H17" s="2"/>
      <c r="I17" s="2"/>
      <c r="J17" s="2"/>
      <c r="K17" s="2">
        <v>0</v>
      </c>
      <c r="L17" s="2" t="s">
        <v>339</v>
      </c>
      <c r="M17" s="2" t="s">
        <v>340</v>
      </c>
      <c r="N17" s="7" t="s">
        <v>341</v>
      </c>
      <c r="O17" s="2" t="s">
        <v>1355</v>
      </c>
      <c r="P17" s="2"/>
      <c r="Q17" s="2"/>
      <c r="R17" s="2" t="s">
        <v>1360</v>
      </c>
      <c r="S17" s="2"/>
      <c r="T17" s="2" t="s">
        <v>1371</v>
      </c>
      <c r="U17" s="2" t="s">
        <v>1357</v>
      </c>
      <c r="V17" s="2" t="s">
        <v>342</v>
      </c>
      <c r="W17" s="2"/>
      <c r="X17" t="s">
        <v>343</v>
      </c>
      <c r="Y17" s="2" t="s">
        <v>23</v>
      </c>
      <c r="Z17" s="2" t="s">
        <v>24</v>
      </c>
      <c r="AA17" s="2" t="s">
        <v>64</v>
      </c>
      <c r="AB17" s="2" t="s">
        <v>25</v>
      </c>
      <c r="AC17" s="2" t="s">
        <v>344</v>
      </c>
    </row>
    <row r="18" spans="1:29" ht="240" x14ac:dyDescent="0.25">
      <c r="A18" s="2" t="s">
        <v>355</v>
      </c>
      <c r="B18" s="2" t="s">
        <v>356</v>
      </c>
      <c r="C18" s="2">
        <v>2024</v>
      </c>
      <c r="D18" s="2" t="s">
        <v>45</v>
      </c>
      <c r="E18" s="2" t="s">
        <v>357</v>
      </c>
      <c r="F18" s="2"/>
      <c r="G18" s="2" t="s">
        <v>358</v>
      </c>
      <c r="H18" s="2"/>
      <c r="I18" s="2"/>
      <c r="J18" s="2"/>
      <c r="K18" s="2">
        <v>0</v>
      </c>
      <c r="L18" s="2" t="s">
        <v>359</v>
      </c>
      <c r="M18" s="12" t="s">
        <v>360</v>
      </c>
      <c r="N18" s="14" t="s">
        <v>361</v>
      </c>
      <c r="O18" s="2" t="s">
        <v>1351</v>
      </c>
      <c r="P18" s="2" t="s">
        <v>1350</v>
      </c>
      <c r="Q18" s="2"/>
      <c r="R18" s="2" t="s">
        <v>1361</v>
      </c>
      <c r="S18" s="2"/>
      <c r="T18" s="2"/>
      <c r="U18" s="2"/>
      <c r="V18" s="2" t="s">
        <v>362</v>
      </c>
      <c r="W18" s="2" t="s">
        <v>363</v>
      </c>
      <c r="X18" t="s">
        <v>364</v>
      </c>
      <c r="Y18" s="2" t="s">
        <v>23</v>
      </c>
      <c r="Z18" s="2" t="s">
        <v>24</v>
      </c>
      <c r="AA18" s="2"/>
      <c r="AB18" s="2" t="s">
        <v>25</v>
      </c>
      <c r="AC18" s="2" t="s">
        <v>365</v>
      </c>
    </row>
    <row r="19" spans="1:29" ht="195" x14ac:dyDescent="0.25">
      <c r="A19" s="2" t="s">
        <v>451</v>
      </c>
      <c r="B19" s="2" t="s">
        <v>452</v>
      </c>
      <c r="C19" s="2">
        <v>2024</v>
      </c>
      <c r="D19" s="2" t="s">
        <v>81</v>
      </c>
      <c r="E19" s="2" t="s">
        <v>79</v>
      </c>
      <c r="F19" s="2" t="s">
        <v>83</v>
      </c>
      <c r="G19" s="2" t="s">
        <v>453</v>
      </c>
      <c r="H19" s="2"/>
      <c r="I19" s="2"/>
      <c r="J19" s="2"/>
      <c r="K19" s="2">
        <v>1</v>
      </c>
      <c r="L19" s="2" t="s">
        <v>454</v>
      </c>
      <c r="M19" s="2" t="s">
        <v>455</v>
      </c>
      <c r="N19" s="9" t="s">
        <v>456</v>
      </c>
      <c r="O19" s="2" t="s">
        <v>1350</v>
      </c>
      <c r="P19" s="2"/>
      <c r="Q19" s="2"/>
      <c r="R19" s="2" t="s">
        <v>1362</v>
      </c>
      <c r="S19" s="2"/>
      <c r="T19" s="2"/>
      <c r="U19" s="2" t="s">
        <v>1363</v>
      </c>
      <c r="V19" s="2" t="s">
        <v>457</v>
      </c>
      <c r="W19" s="2" t="s">
        <v>458</v>
      </c>
      <c r="X19" t="s">
        <v>459</v>
      </c>
      <c r="Y19" s="2" t="s">
        <v>23</v>
      </c>
      <c r="Z19" s="2" t="s">
        <v>24</v>
      </c>
      <c r="AA19" s="2" t="s">
        <v>30</v>
      </c>
      <c r="AB19" s="2" t="s">
        <v>25</v>
      </c>
      <c r="AC19" s="2" t="s">
        <v>460</v>
      </c>
    </row>
    <row r="20" spans="1:29" ht="195" x14ac:dyDescent="0.25">
      <c r="A20" s="2" t="s">
        <v>355</v>
      </c>
      <c r="B20" s="2" t="s">
        <v>470</v>
      </c>
      <c r="C20" s="2">
        <v>2024</v>
      </c>
      <c r="D20" s="2" t="s">
        <v>33</v>
      </c>
      <c r="E20" s="2" t="s">
        <v>471</v>
      </c>
      <c r="F20" s="2"/>
      <c r="G20" s="2" t="s">
        <v>472</v>
      </c>
      <c r="H20" s="2"/>
      <c r="I20" s="2"/>
      <c r="J20" s="2"/>
      <c r="K20" s="2">
        <v>1</v>
      </c>
      <c r="L20" s="2" t="s">
        <v>473</v>
      </c>
      <c r="M20" s="12" t="s">
        <v>474</v>
      </c>
      <c r="N20" s="14" t="s">
        <v>475</v>
      </c>
      <c r="O20" s="2" t="s">
        <v>1351</v>
      </c>
      <c r="P20" s="2" t="s">
        <v>1350</v>
      </c>
      <c r="Q20" s="2"/>
      <c r="R20" s="2" t="s">
        <v>1361</v>
      </c>
      <c r="S20" s="2"/>
      <c r="T20" s="2"/>
      <c r="U20" s="2" t="s">
        <v>1364</v>
      </c>
      <c r="V20" s="2" t="s">
        <v>476</v>
      </c>
      <c r="W20" s="2" t="s">
        <v>477</v>
      </c>
      <c r="X20" t="s">
        <v>478</v>
      </c>
      <c r="Y20" s="2" t="s">
        <v>23</v>
      </c>
      <c r="Z20" s="2" t="s">
        <v>24</v>
      </c>
      <c r="AA20" s="2"/>
      <c r="AB20" s="2" t="s">
        <v>25</v>
      </c>
      <c r="AC20" s="2" t="s">
        <v>479</v>
      </c>
    </row>
    <row r="21" spans="1:29" ht="135" x14ac:dyDescent="0.25">
      <c r="A21" s="2" t="s">
        <v>490</v>
      </c>
      <c r="B21" s="2" t="s">
        <v>491</v>
      </c>
      <c r="C21" s="2">
        <v>2024</v>
      </c>
      <c r="D21" s="2" t="s">
        <v>492</v>
      </c>
      <c r="E21" s="2" t="s">
        <v>261</v>
      </c>
      <c r="F21" s="2" t="s">
        <v>72</v>
      </c>
      <c r="G21" s="2"/>
      <c r="H21" s="2">
        <v>1067</v>
      </c>
      <c r="I21" s="2">
        <v>1078</v>
      </c>
      <c r="J21" s="2">
        <v>11</v>
      </c>
      <c r="K21" s="2">
        <v>0</v>
      </c>
      <c r="L21" s="2" t="s">
        <v>493</v>
      </c>
      <c r="M21" s="2" t="s">
        <v>494</v>
      </c>
      <c r="N21" s="7" t="s">
        <v>495</v>
      </c>
      <c r="O21" s="2" t="s">
        <v>1350</v>
      </c>
      <c r="P21" s="2"/>
      <c r="Q21" s="2"/>
      <c r="R21" s="2" t="s">
        <v>1365</v>
      </c>
      <c r="S21" s="2"/>
      <c r="T21" s="2" t="s">
        <v>1371</v>
      </c>
      <c r="U21" s="2"/>
      <c r="V21" s="2" t="s">
        <v>496</v>
      </c>
      <c r="W21" s="2"/>
      <c r="X21" t="s">
        <v>497</v>
      </c>
      <c r="Y21" s="2" t="s">
        <v>23</v>
      </c>
      <c r="Z21" s="2" t="s">
        <v>24</v>
      </c>
      <c r="AA21" s="2" t="s">
        <v>64</v>
      </c>
      <c r="AB21" s="2" t="s">
        <v>25</v>
      </c>
      <c r="AC21" s="2" t="s">
        <v>498</v>
      </c>
    </row>
    <row r="22" spans="1:29" ht="195" x14ac:dyDescent="0.25">
      <c r="A22" s="2" t="s">
        <v>525</v>
      </c>
      <c r="B22" s="2" t="s">
        <v>526</v>
      </c>
      <c r="C22" s="2">
        <v>2024</v>
      </c>
      <c r="D22" s="2" t="s">
        <v>527</v>
      </c>
      <c r="E22" s="2" t="s">
        <v>528</v>
      </c>
      <c r="F22" s="2"/>
      <c r="G22" s="2" t="s">
        <v>529</v>
      </c>
      <c r="H22" s="2"/>
      <c r="I22" s="2"/>
      <c r="J22" s="2"/>
      <c r="K22" s="2">
        <v>0</v>
      </c>
      <c r="L22" s="2" t="s">
        <v>530</v>
      </c>
      <c r="M22" s="12" t="s">
        <v>531</v>
      </c>
      <c r="N22" s="14" t="s">
        <v>532</v>
      </c>
      <c r="O22" s="2" t="s">
        <v>1351</v>
      </c>
      <c r="P22" s="2" t="s">
        <v>1350</v>
      </c>
      <c r="Q22" s="2"/>
      <c r="R22" s="2" t="s">
        <v>1366</v>
      </c>
      <c r="S22" s="2"/>
      <c r="T22" s="2"/>
      <c r="U22" s="2"/>
      <c r="V22" s="2" t="s">
        <v>533</v>
      </c>
      <c r="W22" s="2" t="s">
        <v>534</v>
      </c>
      <c r="X22" t="s">
        <v>535</v>
      </c>
      <c r="Y22" s="2" t="s">
        <v>23</v>
      </c>
      <c r="Z22" s="2" t="s">
        <v>24</v>
      </c>
      <c r="AA22" s="2"/>
      <c r="AB22" s="2" t="s">
        <v>25</v>
      </c>
      <c r="AC22" s="2" t="s">
        <v>536</v>
      </c>
    </row>
    <row r="23" spans="1:29" ht="285" x14ac:dyDescent="0.25">
      <c r="A23" s="2" t="s">
        <v>55</v>
      </c>
      <c r="B23" s="2" t="s">
        <v>56</v>
      </c>
      <c r="C23" s="2">
        <v>2023</v>
      </c>
      <c r="D23" s="2" t="s">
        <v>57</v>
      </c>
      <c r="E23" s="2" t="s">
        <v>58</v>
      </c>
      <c r="F23" s="2"/>
      <c r="G23" s="2"/>
      <c r="H23" s="2">
        <v>157</v>
      </c>
      <c r="I23" s="2">
        <v>175</v>
      </c>
      <c r="J23" s="2">
        <v>18</v>
      </c>
      <c r="K23" s="2">
        <v>6</v>
      </c>
      <c r="L23" s="2" t="s">
        <v>59</v>
      </c>
      <c r="M23" s="2" t="s">
        <v>60</v>
      </c>
      <c r="N23" s="7" t="s">
        <v>61</v>
      </c>
      <c r="O23" s="7" t="s">
        <v>1355</v>
      </c>
      <c r="P23" s="7"/>
      <c r="Q23" s="7"/>
      <c r="R23" s="7"/>
      <c r="S23" s="7"/>
      <c r="T23" s="7" t="s">
        <v>1371</v>
      </c>
      <c r="U23" s="5" t="s">
        <v>1348</v>
      </c>
      <c r="V23" s="2"/>
      <c r="W23" s="2" t="s">
        <v>62</v>
      </c>
      <c r="X23" t="s">
        <v>63</v>
      </c>
      <c r="Y23" s="2" t="s">
        <v>23</v>
      </c>
      <c r="Z23" s="2" t="s">
        <v>24</v>
      </c>
      <c r="AA23" s="2" t="s">
        <v>64</v>
      </c>
      <c r="AB23" s="2" t="s">
        <v>25</v>
      </c>
      <c r="AC23" s="2" t="s">
        <v>65</v>
      </c>
    </row>
    <row r="24" spans="1:29" ht="165" x14ac:dyDescent="0.25">
      <c r="A24" s="2" t="s">
        <v>99</v>
      </c>
      <c r="B24" s="2" t="s">
        <v>100</v>
      </c>
      <c r="C24" s="2">
        <v>2023</v>
      </c>
      <c r="D24" s="2" t="s">
        <v>26</v>
      </c>
      <c r="E24" s="2" t="s">
        <v>27</v>
      </c>
      <c r="F24" s="2" t="s">
        <v>28</v>
      </c>
      <c r="G24" s="2" t="s">
        <v>101</v>
      </c>
      <c r="H24" s="2"/>
      <c r="I24" s="2"/>
      <c r="J24" s="2"/>
      <c r="K24" s="2">
        <v>0</v>
      </c>
      <c r="L24" s="2" t="s">
        <v>102</v>
      </c>
      <c r="M24" s="2" t="s">
        <v>103</v>
      </c>
      <c r="N24" s="7" t="s">
        <v>104</v>
      </c>
      <c r="O24" s="2" t="s">
        <v>1355</v>
      </c>
      <c r="P24" s="2"/>
      <c r="Q24" s="2"/>
      <c r="R24" s="2"/>
      <c r="S24" s="2"/>
      <c r="T24" s="2" t="s">
        <v>1371</v>
      </c>
      <c r="U24" s="2" t="s">
        <v>1356</v>
      </c>
      <c r="V24" s="2"/>
      <c r="W24" s="2" t="s">
        <v>105</v>
      </c>
      <c r="X24" t="s">
        <v>106</v>
      </c>
      <c r="Y24" s="2" t="s">
        <v>29</v>
      </c>
      <c r="Z24" s="2" t="s">
        <v>24</v>
      </c>
      <c r="AA24" s="2" t="s">
        <v>30</v>
      </c>
      <c r="AB24" s="2" t="s">
        <v>25</v>
      </c>
      <c r="AC24" s="2" t="s">
        <v>107</v>
      </c>
    </row>
    <row r="25" spans="1:29" ht="180" x14ac:dyDescent="0.25">
      <c r="A25" s="2" t="s">
        <v>129</v>
      </c>
      <c r="B25" s="2" t="s">
        <v>130</v>
      </c>
      <c r="C25" s="2">
        <v>2023</v>
      </c>
      <c r="D25" s="2" t="s">
        <v>131</v>
      </c>
      <c r="E25" s="2"/>
      <c r="F25" s="2"/>
      <c r="G25" s="2"/>
      <c r="H25" s="2">
        <v>1385</v>
      </c>
      <c r="I25" s="2">
        <v>1393</v>
      </c>
      <c r="J25" s="2">
        <v>8</v>
      </c>
      <c r="K25" s="2">
        <v>0</v>
      </c>
      <c r="L25" s="2" t="s">
        <v>132</v>
      </c>
      <c r="M25" s="2" t="s">
        <v>133</v>
      </c>
      <c r="N25" s="8" t="s">
        <v>134</v>
      </c>
      <c r="O25" s="2" t="s">
        <v>1354</v>
      </c>
      <c r="P25" s="2"/>
      <c r="Q25" s="2"/>
      <c r="R25" s="2" t="s">
        <v>1359</v>
      </c>
      <c r="S25" s="2" t="s">
        <v>1415</v>
      </c>
      <c r="T25" s="2"/>
      <c r="U25" s="2" t="s">
        <v>1353</v>
      </c>
      <c r="V25" s="2" t="s">
        <v>135</v>
      </c>
      <c r="W25" s="2" t="s">
        <v>136</v>
      </c>
      <c r="X25" t="s">
        <v>137</v>
      </c>
      <c r="Y25" s="2" t="s">
        <v>29</v>
      </c>
      <c r="Z25" s="2" t="s">
        <v>24</v>
      </c>
      <c r="AA25" s="2"/>
      <c r="AB25" s="2" t="s">
        <v>25</v>
      </c>
      <c r="AC25" s="2" t="s">
        <v>138</v>
      </c>
    </row>
    <row r="26" spans="1:29" ht="240" x14ac:dyDescent="0.25">
      <c r="A26" s="2" t="s">
        <v>150</v>
      </c>
      <c r="B26" s="2" t="s">
        <v>151</v>
      </c>
      <c r="C26" s="2">
        <v>2023</v>
      </c>
      <c r="D26" s="2" t="s">
        <v>152</v>
      </c>
      <c r="E26" s="2" t="s">
        <v>79</v>
      </c>
      <c r="F26" s="2" t="s">
        <v>153</v>
      </c>
      <c r="G26" s="2" t="s">
        <v>154</v>
      </c>
      <c r="H26" s="2"/>
      <c r="I26" s="2"/>
      <c r="J26" s="2"/>
      <c r="K26" s="2">
        <v>6</v>
      </c>
      <c r="L26" s="2" t="s">
        <v>155</v>
      </c>
      <c r="M26" s="2" t="s">
        <v>156</v>
      </c>
      <c r="N26" s="4" t="s">
        <v>157</v>
      </c>
      <c r="O26" s="2" t="s">
        <v>1350</v>
      </c>
      <c r="P26" s="2"/>
      <c r="Q26" s="2"/>
      <c r="R26" s="2" t="s">
        <v>1359</v>
      </c>
      <c r="S26" s="2"/>
      <c r="T26" s="2"/>
      <c r="U26" s="2"/>
      <c r="V26" s="2" t="s">
        <v>158</v>
      </c>
      <c r="W26" s="2" t="s">
        <v>159</v>
      </c>
      <c r="X26" t="s">
        <v>160</v>
      </c>
      <c r="Y26" s="2" t="s">
        <v>23</v>
      </c>
      <c r="Z26" s="2" t="s">
        <v>24</v>
      </c>
      <c r="AA26" s="2" t="s">
        <v>64</v>
      </c>
      <c r="AB26" s="2" t="s">
        <v>25</v>
      </c>
      <c r="AC26" s="2" t="s">
        <v>161</v>
      </c>
    </row>
    <row r="27" spans="1:29" ht="225" x14ac:dyDescent="0.25">
      <c r="A27" s="2" t="s">
        <v>259</v>
      </c>
      <c r="B27" s="2" t="s">
        <v>260</v>
      </c>
      <c r="C27" s="2">
        <v>2023</v>
      </c>
      <c r="D27" s="2" t="s">
        <v>81</v>
      </c>
      <c r="E27" s="2" t="s">
        <v>261</v>
      </c>
      <c r="F27" s="2" t="s">
        <v>262</v>
      </c>
      <c r="G27" s="2" t="s">
        <v>263</v>
      </c>
      <c r="H27" s="2"/>
      <c r="I27" s="2"/>
      <c r="J27" s="2"/>
      <c r="K27" s="2">
        <v>3</v>
      </c>
      <c r="L27" s="2" t="s">
        <v>264</v>
      </c>
      <c r="M27" s="2" t="s">
        <v>265</v>
      </c>
      <c r="N27" s="4" t="s">
        <v>266</v>
      </c>
      <c r="O27" s="2" t="s">
        <v>1350</v>
      </c>
      <c r="P27" s="2"/>
      <c r="Q27" s="2"/>
      <c r="R27" s="2"/>
      <c r="S27" s="2"/>
      <c r="T27" s="2"/>
      <c r="U27" s="2"/>
      <c r="V27" s="2" t="s">
        <v>267</v>
      </c>
      <c r="W27" s="2"/>
      <c r="X27" t="s">
        <v>268</v>
      </c>
      <c r="Y27" s="2" t="s">
        <v>23</v>
      </c>
      <c r="Z27" s="2" t="s">
        <v>24</v>
      </c>
      <c r="AA27" s="2" t="s">
        <v>64</v>
      </c>
      <c r="AB27" s="2" t="s">
        <v>25</v>
      </c>
      <c r="AC27" s="2" t="s">
        <v>269</v>
      </c>
    </row>
    <row r="28" spans="1:29" ht="150" x14ac:dyDescent="0.25">
      <c r="A28" s="2" t="s">
        <v>399</v>
      </c>
      <c r="B28" s="2" t="s">
        <v>400</v>
      </c>
      <c r="C28" s="2">
        <v>2023</v>
      </c>
      <c r="D28" s="2" t="s">
        <v>401</v>
      </c>
      <c r="E28" s="2" t="s">
        <v>153</v>
      </c>
      <c r="F28" s="2" t="s">
        <v>22</v>
      </c>
      <c r="G28" s="2"/>
      <c r="H28" s="2">
        <v>244</v>
      </c>
      <c r="I28" s="2">
        <v>257</v>
      </c>
      <c r="J28" s="2">
        <v>13</v>
      </c>
      <c r="K28" s="2">
        <v>3</v>
      </c>
      <c r="L28" s="2" t="s">
        <v>402</v>
      </c>
      <c r="M28" s="12" t="s">
        <v>403</v>
      </c>
      <c r="N28" s="14" t="s">
        <v>404</v>
      </c>
      <c r="O28" s="2" t="s">
        <v>1351</v>
      </c>
      <c r="P28" s="2" t="s">
        <v>1350</v>
      </c>
      <c r="Q28" s="2"/>
      <c r="R28" s="2"/>
      <c r="S28" s="2"/>
      <c r="T28" s="2"/>
      <c r="U28" s="2"/>
      <c r="V28" s="2" t="s">
        <v>405</v>
      </c>
      <c r="W28" s="2" t="s">
        <v>406</v>
      </c>
      <c r="X28" t="s">
        <v>407</v>
      </c>
      <c r="Y28" s="2" t="s">
        <v>23</v>
      </c>
      <c r="Z28" s="2" t="s">
        <v>24</v>
      </c>
      <c r="AA28" s="2" t="s">
        <v>64</v>
      </c>
      <c r="AB28" s="2" t="s">
        <v>25</v>
      </c>
      <c r="AC28" s="2" t="s">
        <v>408</v>
      </c>
    </row>
    <row r="29" spans="1:29" ht="150" x14ac:dyDescent="0.25">
      <c r="A29" s="2" t="s">
        <v>418</v>
      </c>
      <c r="B29" s="2" t="s">
        <v>419</v>
      </c>
      <c r="C29" s="2">
        <v>2023</v>
      </c>
      <c r="D29" s="2" t="s">
        <v>420</v>
      </c>
      <c r="E29" s="2" t="s">
        <v>421</v>
      </c>
      <c r="F29" s="2"/>
      <c r="G29" s="2" t="s">
        <v>422</v>
      </c>
      <c r="H29" s="2"/>
      <c r="I29" s="2"/>
      <c r="J29" s="2"/>
      <c r="K29" s="2">
        <v>23</v>
      </c>
      <c r="L29" s="2" t="s">
        <v>423</v>
      </c>
      <c r="M29" s="12" t="s">
        <v>424</v>
      </c>
      <c r="N29" s="14" t="s">
        <v>425</v>
      </c>
      <c r="O29" s="2" t="s">
        <v>1351</v>
      </c>
      <c r="P29" s="2" t="s">
        <v>1350</v>
      </c>
      <c r="Q29" s="2"/>
      <c r="R29" s="2"/>
      <c r="S29" s="2"/>
      <c r="T29" s="2"/>
      <c r="U29" s="2"/>
      <c r="V29" s="2" t="s">
        <v>426</v>
      </c>
      <c r="W29" s="2" t="s">
        <v>427</v>
      </c>
      <c r="X29" t="s">
        <v>428</v>
      </c>
      <c r="Y29" s="2" t="s">
        <v>429</v>
      </c>
      <c r="Z29" s="2" t="s">
        <v>24</v>
      </c>
      <c r="AA29" s="2"/>
      <c r="AB29" s="2" t="s">
        <v>25</v>
      </c>
      <c r="AC29" s="2" t="s">
        <v>430</v>
      </c>
    </row>
    <row r="30" spans="1:29" ht="120" x14ac:dyDescent="0.25">
      <c r="A30" s="2" t="s">
        <v>108</v>
      </c>
      <c r="B30" s="2" t="s">
        <v>109</v>
      </c>
      <c r="C30" s="2">
        <v>2022</v>
      </c>
      <c r="D30" s="2" t="s">
        <v>110</v>
      </c>
      <c r="E30" s="2" t="s">
        <v>111</v>
      </c>
      <c r="F30" s="2"/>
      <c r="G30" s="2"/>
      <c r="H30" s="2">
        <v>347</v>
      </c>
      <c r="I30" s="2">
        <v>353</v>
      </c>
      <c r="J30" s="2">
        <v>6</v>
      </c>
      <c r="K30" s="2">
        <v>1</v>
      </c>
      <c r="L30" s="2" t="s">
        <v>112</v>
      </c>
      <c r="M30" s="12" t="s">
        <v>113</v>
      </c>
      <c r="N30" s="14" t="s">
        <v>114</v>
      </c>
      <c r="O30" s="2" t="s">
        <v>1351</v>
      </c>
      <c r="P30" s="2" t="s">
        <v>1351</v>
      </c>
      <c r="Q30" s="2" t="s">
        <v>1371</v>
      </c>
      <c r="R30" s="2"/>
      <c r="S30" s="2"/>
      <c r="T30" s="2"/>
      <c r="U30" s="2"/>
      <c r="V30" s="2" t="s">
        <v>115</v>
      </c>
      <c r="W30" s="2"/>
      <c r="X30" t="s">
        <v>116</v>
      </c>
      <c r="Y30" s="2" t="s">
        <v>29</v>
      </c>
      <c r="Z30" s="2" t="s">
        <v>24</v>
      </c>
      <c r="AA30" s="2" t="s">
        <v>64</v>
      </c>
      <c r="AB30" s="2" t="s">
        <v>25</v>
      </c>
      <c r="AC30" s="2" t="s">
        <v>117</v>
      </c>
    </row>
    <row r="31" spans="1:29" ht="195" x14ac:dyDescent="0.25">
      <c r="A31" s="2" t="s">
        <v>139</v>
      </c>
      <c r="B31" s="2" t="s">
        <v>140</v>
      </c>
      <c r="C31" s="2">
        <v>2022</v>
      </c>
      <c r="D31" s="2" t="s">
        <v>45</v>
      </c>
      <c r="E31" s="2" t="s">
        <v>141</v>
      </c>
      <c r="F31" s="2"/>
      <c r="G31" s="2" t="s">
        <v>142</v>
      </c>
      <c r="H31" s="2"/>
      <c r="I31" s="2"/>
      <c r="J31" s="2"/>
      <c r="K31" s="2">
        <v>5</v>
      </c>
      <c r="L31" s="2" t="s">
        <v>143</v>
      </c>
      <c r="M31" s="12" t="s">
        <v>144</v>
      </c>
      <c r="N31" s="14" t="s">
        <v>145</v>
      </c>
      <c r="O31" s="2" t="s">
        <v>1351</v>
      </c>
      <c r="P31" s="2" t="s">
        <v>1351</v>
      </c>
      <c r="Q31" s="2" t="s">
        <v>1371</v>
      </c>
      <c r="R31" s="2"/>
      <c r="S31" s="2"/>
      <c r="T31" s="2"/>
      <c r="U31" s="2"/>
      <c r="V31" s="2" t="s">
        <v>146</v>
      </c>
      <c r="W31" s="2" t="s">
        <v>147</v>
      </c>
      <c r="X31" t="s">
        <v>148</v>
      </c>
      <c r="Y31" s="2" t="s">
        <v>23</v>
      </c>
      <c r="Z31" s="2" t="s">
        <v>24</v>
      </c>
      <c r="AA31" s="2" t="s">
        <v>67</v>
      </c>
      <c r="AB31" s="2" t="s">
        <v>25</v>
      </c>
      <c r="AC31" s="2" t="s">
        <v>149</v>
      </c>
    </row>
    <row r="32" spans="1:29" ht="195" x14ac:dyDescent="0.25">
      <c r="A32" s="2" t="s">
        <v>200</v>
      </c>
      <c r="B32" s="2" t="s">
        <v>201</v>
      </c>
      <c r="C32" s="2">
        <v>2022</v>
      </c>
      <c r="D32" s="2" t="s">
        <v>128</v>
      </c>
      <c r="E32" s="2"/>
      <c r="F32" s="2"/>
      <c r="G32" s="2"/>
      <c r="H32" s="2">
        <v>230</v>
      </c>
      <c r="I32" s="2">
        <v>239</v>
      </c>
      <c r="J32" s="2">
        <v>9</v>
      </c>
      <c r="K32" s="2">
        <v>0</v>
      </c>
      <c r="L32" s="2"/>
      <c r="M32" s="2" t="s">
        <v>202</v>
      </c>
      <c r="N32" s="10" t="s">
        <v>203</v>
      </c>
      <c r="O32" s="2"/>
      <c r="P32" s="2"/>
      <c r="Q32" s="2"/>
      <c r="R32" s="2"/>
      <c r="S32" s="2"/>
      <c r="T32" s="2"/>
      <c r="U32" s="2"/>
      <c r="V32" s="2"/>
      <c r="W32" s="2" t="s">
        <v>204</v>
      </c>
      <c r="X32" t="s">
        <v>205</v>
      </c>
      <c r="Y32" s="2" t="s">
        <v>29</v>
      </c>
      <c r="Z32" s="2" t="s">
        <v>24</v>
      </c>
      <c r="AA32" s="2"/>
      <c r="AB32" s="2" t="s">
        <v>25</v>
      </c>
      <c r="AC32" s="2" t="s">
        <v>206</v>
      </c>
    </row>
    <row r="33" spans="1:29" ht="150" x14ac:dyDescent="0.25">
      <c r="A33" s="2" t="s">
        <v>226</v>
      </c>
      <c r="B33" s="2" t="s">
        <v>227</v>
      </c>
      <c r="C33" s="2">
        <v>2022</v>
      </c>
      <c r="D33" s="2" t="s">
        <v>228</v>
      </c>
      <c r="E33" s="2" t="s">
        <v>229</v>
      </c>
      <c r="F33" s="2" t="s">
        <v>230</v>
      </c>
      <c r="G33" s="2" t="s">
        <v>231</v>
      </c>
      <c r="H33" s="2"/>
      <c r="I33" s="2"/>
      <c r="J33" s="2"/>
      <c r="K33" s="2">
        <v>0</v>
      </c>
      <c r="L33" s="2" t="s">
        <v>232</v>
      </c>
      <c r="M33" s="2" t="s">
        <v>233</v>
      </c>
      <c r="N33" s="10" t="s">
        <v>234</v>
      </c>
      <c r="O33" s="2"/>
      <c r="P33" s="2"/>
      <c r="Q33" s="2"/>
      <c r="R33" s="2"/>
      <c r="S33" s="2"/>
      <c r="T33" s="2"/>
      <c r="U33" s="2"/>
      <c r="V33" s="2"/>
      <c r="W33" s="2"/>
      <c r="X33" t="s">
        <v>235</v>
      </c>
      <c r="Y33" s="2" t="s">
        <v>29</v>
      </c>
      <c r="Z33" s="2" t="s">
        <v>24</v>
      </c>
      <c r="AA33" s="2" t="s">
        <v>64</v>
      </c>
      <c r="AB33" s="2" t="s">
        <v>25</v>
      </c>
      <c r="AC33" s="2" t="s">
        <v>236</v>
      </c>
    </row>
    <row r="34" spans="1:29" ht="225" x14ac:dyDescent="0.25">
      <c r="A34" s="2" t="s">
        <v>310</v>
      </c>
      <c r="B34" s="2" t="s">
        <v>311</v>
      </c>
      <c r="C34" s="2">
        <v>2022</v>
      </c>
      <c r="D34" s="2" t="s">
        <v>45</v>
      </c>
      <c r="E34" s="2" t="s">
        <v>312</v>
      </c>
      <c r="F34" s="2"/>
      <c r="G34" s="2" t="s">
        <v>313</v>
      </c>
      <c r="H34" s="2"/>
      <c r="I34" s="2"/>
      <c r="J34" s="2"/>
      <c r="K34" s="2">
        <v>12</v>
      </c>
      <c r="L34" s="2" t="s">
        <v>314</v>
      </c>
      <c r="M34" s="2" t="s">
        <v>315</v>
      </c>
      <c r="N34" s="4" t="s">
        <v>316</v>
      </c>
      <c r="O34" s="2" t="s">
        <v>1350</v>
      </c>
      <c r="P34" s="2"/>
      <c r="Q34" s="2"/>
      <c r="R34" s="2" t="s">
        <v>1367</v>
      </c>
      <c r="S34" s="2"/>
      <c r="T34" s="2"/>
      <c r="U34" s="2"/>
      <c r="V34" s="2" t="s">
        <v>317</v>
      </c>
      <c r="W34" s="2" t="s">
        <v>318</v>
      </c>
      <c r="X34" t="s">
        <v>319</v>
      </c>
      <c r="Y34" s="2" t="s">
        <v>23</v>
      </c>
      <c r="Z34" s="2" t="s">
        <v>24</v>
      </c>
      <c r="AA34" s="2"/>
      <c r="AB34" s="2" t="s">
        <v>25</v>
      </c>
      <c r="AC34" s="2" t="s">
        <v>320</v>
      </c>
    </row>
    <row r="35" spans="1:29" ht="210" x14ac:dyDescent="0.25">
      <c r="A35" s="2" t="s">
        <v>322</v>
      </c>
      <c r="B35" s="2" t="s">
        <v>323</v>
      </c>
      <c r="C35" s="2">
        <v>2022</v>
      </c>
      <c r="D35" s="2" t="s">
        <v>324</v>
      </c>
      <c r="E35" s="2" t="s">
        <v>325</v>
      </c>
      <c r="F35" s="2" t="s">
        <v>22</v>
      </c>
      <c r="G35" s="2"/>
      <c r="H35" s="2">
        <v>967</v>
      </c>
      <c r="I35" s="2">
        <v>1021</v>
      </c>
      <c r="J35" s="2">
        <v>54</v>
      </c>
      <c r="K35" s="2">
        <v>1</v>
      </c>
      <c r="L35" s="2" t="s">
        <v>326</v>
      </c>
      <c r="M35" s="2" t="s">
        <v>327</v>
      </c>
      <c r="N35" s="4" t="s">
        <v>328</v>
      </c>
      <c r="O35" s="2" t="s">
        <v>1350</v>
      </c>
      <c r="P35" s="2"/>
      <c r="Q35" s="2"/>
      <c r="R35" s="2"/>
      <c r="S35" s="2"/>
      <c r="T35" s="2"/>
      <c r="U35" s="2"/>
      <c r="V35" s="2" t="s">
        <v>329</v>
      </c>
      <c r="W35" s="2" t="s">
        <v>330</v>
      </c>
      <c r="X35" t="s">
        <v>331</v>
      </c>
      <c r="Y35" s="2" t="s">
        <v>23</v>
      </c>
      <c r="Z35" s="2" t="s">
        <v>24</v>
      </c>
      <c r="AA35" s="2"/>
      <c r="AB35" s="2" t="s">
        <v>25</v>
      </c>
      <c r="AC35" s="2" t="s">
        <v>332</v>
      </c>
    </row>
    <row r="36" spans="1:29" ht="180" x14ac:dyDescent="0.25">
      <c r="A36" s="2" t="s">
        <v>461</v>
      </c>
      <c r="B36" s="2" t="s">
        <v>462</v>
      </c>
      <c r="C36" s="2">
        <v>2022</v>
      </c>
      <c r="D36" s="2" t="s">
        <v>397</v>
      </c>
      <c r="E36" s="2" t="s">
        <v>88</v>
      </c>
      <c r="F36" s="2" t="s">
        <v>87</v>
      </c>
      <c r="G36" s="2"/>
      <c r="H36" s="2">
        <v>1611</v>
      </c>
      <c r="I36" s="2">
        <v>1627</v>
      </c>
      <c r="J36" s="2">
        <v>16</v>
      </c>
      <c r="K36" s="2">
        <v>7</v>
      </c>
      <c r="L36" s="2" t="s">
        <v>463</v>
      </c>
      <c r="M36" s="2" t="s">
        <v>464</v>
      </c>
      <c r="N36" s="4" t="s">
        <v>465</v>
      </c>
      <c r="O36" s="2" t="s">
        <v>1350</v>
      </c>
      <c r="P36" s="2"/>
      <c r="Q36" s="2"/>
      <c r="R36" s="2"/>
      <c r="S36" s="2"/>
      <c r="T36" s="2"/>
      <c r="U36" s="2"/>
      <c r="V36" s="2" t="s">
        <v>466</v>
      </c>
      <c r="W36" s="2" t="s">
        <v>467</v>
      </c>
      <c r="X36" t="s">
        <v>468</v>
      </c>
      <c r="Y36" s="2" t="s">
        <v>23</v>
      </c>
      <c r="Z36" s="2" t="s">
        <v>24</v>
      </c>
      <c r="AA36" s="2"/>
      <c r="AB36" s="2" t="s">
        <v>25</v>
      </c>
      <c r="AC36" s="2" t="s">
        <v>469</v>
      </c>
    </row>
    <row r="37" spans="1:29" ht="180" x14ac:dyDescent="0.25">
      <c r="A37" s="2" t="s">
        <v>518</v>
      </c>
      <c r="B37" s="2" t="s">
        <v>519</v>
      </c>
      <c r="C37" s="2">
        <v>2022</v>
      </c>
      <c r="D37" s="2" t="s">
        <v>128</v>
      </c>
      <c r="E37" s="2"/>
      <c r="F37" s="2"/>
      <c r="G37" s="2"/>
      <c r="H37" s="2">
        <v>240</v>
      </c>
      <c r="I37" s="2">
        <v>248</v>
      </c>
      <c r="J37" s="2">
        <v>8</v>
      </c>
      <c r="K37" s="2">
        <v>0</v>
      </c>
      <c r="L37" s="2"/>
      <c r="M37" s="2" t="s">
        <v>520</v>
      </c>
      <c r="N37" s="4" t="s">
        <v>521</v>
      </c>
      <c r="O37" s="2" t="s">
        <v>1350</v>
      </c>
      <c r="P37" s="2"/>
      <c r="Q37" s="2"/>
      <c r="R37" s="2"/>
      <c r="S37" s="2"/>
      <c r="T37" s="2"/>
      <c r="U37" s="2"/>
      <c r="V37" s="2"/>
      <c r="W37" s="2" t="s">
        <v>522</v>
      </c>
      <c r="X37" t="s">
        <v>523</v>
      </c>
      <c r="Y37" s="2" t="s">
        <v>29</v>
      </c>
      <c r="Z37" s="2" t="s">
        <v>24</v>
      </c>
      <c r="AA37" s="2"/>
      <c r="AB37" s="2" t="s">
        <v>25</v>
      </c>
      <c r="AC37" s="2" t="s">
        <v>524</v>
      </c>
    </row>
    <row r="38" spans="1:29" ht="210" x14ac:dyDescent="0.25">
      <c r="A38" s="2" t="s">
        <v>537</v>
      </c>
      <c r="B38" s="2" t="s">
        <v>538</v>
      </c>
      <c r="C38" s="2">
        <v>2022</v>
      </c>
      <c r="D38" s="2" t="s">
        <v>45</v>
      </c>
      <c r="E38" s="2" t="s">
        <v>539</v>
      </c>
      <c r="F38" s="2"/>
      <c r="G38" s="2" t="s">
        <v>540</v>
      </c>
      <c r="H38" s="2"/>
      <c r="I38" s="2"/>
      <c r="J38" s="2"/>
      <c r="K38" s="2">
        <v>5</v>
      </c>
      <c r="L38" s="2" t="s">
        <v>541</v>
      </c>
      <c r="M38" s="2" t="s">
        <v>542</v>
      </c>
      <c r="N38" s="11" t="s">
        <v>543</v>
      </c>
      <c r="O38" s="2" t="s">
        <v>1350</v>
      </c>
      <c r="P38" s="2"/>
      <c r="Q38" s="2"/>
      <c r="R38" s="2"/>
      <c r="S38" s="2"/>
      <c r="T38" s="2" t="s">
        <v>1371</v>
      </c>
      <c r="U38" s="2"/>
      <c r="V38" s="2" t="s">
        <v>544</v>
      </c>
      <c r="W38" s="2" t="s">
        <v>545</v>
      </c>
      <c r="X38" t="s">
        <v>546</v>
      </c>
      <c r="Y38" s="2" t="s">
        <v>23</v>
      </c>
      <c r="Z38" s="2" t="s">
        <v>24</v>
      </c>
      <c r="AA38" s="2" t="s">
        <v>41</v>
      </c>
      <c r="AB38" s="2" t="s">
        <v>25</v>
      </c>
      <c r="AC38" s="2" t="s">
        <v>547</v>
      </c>
    </row>
    <row r="39" spans="1:29" ht="165" x14ac:dyDescent="0.25">
      <c r="A39" s="2" t="s">
        <v>248</v>
      </c>
      <c r="B39" s="2" t="s">
        <v>249</v>
      </c>
      <c r="C39" s="2">
        <v>2021</v>
      </c>
      <c r="D39" s="2" t="s">
        <v>250</v>
      </c>
      <c r="E39" s="2" t="s">
        <v>251</v>
      </c>
      <c r="F39" s="2" t="s">
        <v>82</v>
      </c>
      <c r="G39" s="2" t="s">
        <v>252</v>
      </c>
      <c r="H39" s="2"/>
      <c r="I39" s="2"/>
      <c r="J39" s="2"/>
      <c r="K39" s="2">
        <v>5</v>
      </c>
      <c r="L39" s="2" t="s">
        <v>253</v>
      </c>
      <c r="M39" s="2" t="s">
        <v>254</v>
      </c>
      <c r="N39" s="11" t="s">
        <v>255</v>
      </c>
      <c r="O39" s="2" t="s">
        <v>1350</v>
      </c>
      <c r="P39" s="2"/>
      <c r="Q39" s="2"/>
      <c r="R39" s="2"/>
      <c r="S39" s="2"/>
      <c r="T39" s="2" t="s">
        <v>1371</v>
      </c>
      <c r="U39" s="2"/>
      <c r="V39" s="2" t="s">
        <v>256</v>
      </c>
      <c r="W39" s="2"/>
      <c r="X39" t="s">
        <v>257</v>
      </c>
      <c r="Y39" s="2" t="s">
        <v>23</v>
      </c>
      <c r="Z39" s="2" t="s">
        <v>24</v>
      </c>
      <c r="AA39" s="2" t="s">
        <v>30</v>
      </c>
      <c r="AB39" s="2" t="s">
        <v>25</v>
      </c>
      <c r="AC39" s="2" t="s">
        <v>258</v>
      </c>
    </row>
    <row r="40" spans="1:29" ht="180" x14ac:dyDescent="0.25">
      <c r="A40" s="2" t="s">
        <v>270</v>
      </c>
      <c r="B40" s="2" t="s">
        <v>271</v>
      </c>
      <c r="C40" s="2">
        <v>2021</v>
      </c>
      <c r="D40" s="2" t="s">
        <v>26</v>
      </c>
      <c r="E40" s="2" t="s">
        <v>127</v>
      </c>
      <c r="F40" s="2"/>
      <c r="G40" s="2" t="s">
        <v>272</v>
      </c>
      <c r="H40" s="2"/>
      <c r="I40" s="2"/>
      <c r="J40" s="2"/>
      <c r="K40" s="2">
        <v>0</v>
      </c>
      <c r="L40" s="2" t="s">
        <v>273</v>
      </c>
      <c r="M40" s="2" t="s">
        <v>274</v>
      </c>
      <c r="N40" s="4" t="s">
        <v>275</v>
      </c>
      <c r="O40" s="2" t="s">
        <v>1350</v>
      </c>
      <c r="P40" s="2"/>
      <c r="Q40" s="2"/>
      <c r="R40" s="2"/>
      <c r="S40" s="2"/>
      <c r="T40" s="2"/>
      <c r="U40" s="2"/>
      <c r="V40" s="2"/>
      <c r="W40" s="2" t="s">
        <v>276</v>
      </c>
      <c r="X40" t="s">
        <v>277</v>
      </c>
      <c r="Y40" s="2" t="s">
        <v>29</v>
      </c>
      <c r="Z40" s="2" t="s">
        <v>24</v>
      </c>
      <c r="AA40" s="2" t="s">
        <v>64</v>
      </c>
      <c r="AB40" s="2" t="s">
        <v>25</v>
      </c>
      <c r="AC40" s="2" t="s">
        <v>278</v>
      </c>
    </row>
    <row r="41" spans="1:29" ht="180" x14ac:dyDescent="0.25">
      <c r="A41" s="2" t="s">
        <v>301</v>
      </c>
      <c r="B41" s="2" t="s">
        <v>302</v>
      </c>
      <c r="C41" s="2">
        <v>2021</v>
      </c>
      <c r="D41" s="2" t="s">
        <v>26</v>
      </c>
      <c r="E41" s="2" t="s">
        <v>127</v>
      </c>
      <c r="F41" s="2"/>
      <c r="G41" s="2" t="s">
        <v>303</v>
      </c>
      <c r="H41" s="2"/>
      <c r="I41" s="2"/>
      <c r="J41" s="2"/>
      <c r="K41" s="2">
        <v>3</v>
      </c>
      <c r="L41" s="2" t="s">
        <v>304</v>
      </c>
      <c r="M41" s="12" t="s">
        <v>305</v>
      </c>
      <c r="N41" s="14" t="s">
        <v>306</v>
      </c>
      <c r="O41" s="2" t="s">
        <v>1351</v>
      </c>
      <c r="P41" s="2" t="s">
        <v>1351</v>
      </c>
      <c r="Q41" s="2" t="s">
        <v>1371</v>
      </c>
      <c r="R41" s="2"/>
      <c r="S41" s="2"/>
      <c r="T41" s="2"/>
      <c r="U41" s="2"/>
      <c r="V41" s="2"/>
      <c r="W41" s="2" t="s">
        <v>307</v>
      </c>
      <c r="X41" t="s">
        <v>308</v>
      </c>
      <c r="Y41" s="2" t="s">
        <v>29</v>
      </c>
      <c r="Z41" s="2" t="s">
        <v>24</v>
      </c>
      <c r="AA41" s="2" t="s">
        <v>64</v>
      </c>
      <c r="AB41" s="2" t="s">
        <v>25</v>
      </c>
      <c r="AC41" s="2" t="s">
        <v>309</v>
      </c>
    </row>
    <row r="42" spans="1:29" ht="255" x14ac:dyDescent="0.25">
      <c r="A42" s="2" t="s">
        <v>366</v>
      </c>
      <c r="B42" s="2" t="s">
        <v>367</v>
      </c>
      <c r="C42" s="2">
        <v>2021</v>
      </c>
      <c r="D42" s="2" t="s">
        <v>26</v>
      </c>
      <c r="E42" s="2" t="s">
        <v>127</v>
      </c>
      <c r="F42" s="2"/>
      <c r="G42" s="2" t="s">
        <v>368</v>
      </c>
      <c r="H42" s="2"/>
      <c r="I42" s="2"/>
      <c r="J42" s="2"/>
      <c r="K42" s="2">
        <v>1</v>
      </c>
      <c r="L42" s="2" t="s">
        <v>369</v>
      </c>
      <c r="M42" s="2" t="s">
        <v>370</v>
      </c>
      <c r="N42" s="11" t="s">
        <v>371</v>
      </c>
      <c r="O42" s="2" t="s">
        <v>1350</v>
      </c>
      <c r="P42" s="2"/>
      <c r="Q42" s="2"/>
      <c r="R42" s="2"/>
      <c r="S42" s="2"/>
      <c r="T42" s="2" t="s">
        <v>1371</v>
      </c>
      <c r="U42" s="2"/>
      <c r="V42" s="2"/>
      <c r="W42" s="2" t="s">
        <v>372</v>
      </c>
      <c r="X42" t="s">
        <v>373</v>
      </c>
      <c r="Y42" s="2" t="s">
        <v>29</v>
      </c>
      <c r="Z42" s="2" t="s">
        <v>24</v>
      </c>
      <c r="AA42" s="2" t="s">
        <v>64</v>
      </c>
      <c r="AB42" s="2" t="s">
        <v>25</v>
      </c>
      <c r="AC42" s="2" t="s">
        <v>374</v>
      </c>
    </row>
    <row r="43" spans="1:29" ht="180" x14ac:dyDescent="0.25">
      <c r="A43" s="2" t="s">
        <v>375</v>
      </c>
      <c r="B43" s="2" t="s">
        <v>376</v>
      </c>
      <c r="C43" s="2">
        <v>2021</v>
      </c>
      <c r="D43" s="2" t="s">
        <v>45</v>
      </c>
      <c r="E43" s="2" t="s">
        <v>377</v>
      </c>
      <c r="F43" s="2"/>
      <c r="G43" s="2" t="s">
        <v>378</v>
      </c>
      <c r="H43" s="2"/>
      <c r="I43" s="2"/>
      <c r="J43" s="2"/>
      <c r="K43" s="2">
        <v>24</v>
      </c>
      <c r="L43" s="2" t="s">
        <v>379</v>
      </c>
      <c r="M43" s="2" t="s">
        <v>380</v>
      </c>
      <c r="N43" s="4" t="s">
        <v>381</v>
      </c>
      <c r="O43" s="2" t="s">
        <v>1350</v>
      </c>
      <c r="P43" s="2"/>
      <c r="Q43" s="2"/>
      <c r="R43" s="2"/>
      <c r="S43" s="2"/>
      <c r="T43" s="2"/>
      <c r="U43" s="2"/>
      <c r="V43" s="2" t="s">
        <v>382</v>
      </c>
      <c r="W43" s="2" t="s">
        <v>383</v>
      </c>
      <c r="X43" t="s">
        <v>384</v>
      </c>
      <c r="Y43" s="2" t="s">
        <v>23</v>
      </c>
      <c r="Z43" s="2" t="s">
        <v>24</v>
      </c>
      <c r="AA43" s="2" t="s">
        <v>86</v>
      </c>
      <c r="AB43" s="2" t="s">
        <v>25</v>
      </c>
      <c r="AC43" s="2" t="s">
        <v>385</v>
      </c>
    </row>
    <row r="44" spans="1:29" ht="150" x14ac:dyDescent="0.25">
      <c r="A44" s="2" t="s">
        <v>207</v>
      </c>
      <c r="B44" s="2" t="s">
        <v>208</v>
      </c>
      <c r="C44" s="2">
        <v>2020</v>
      </c>
      <c r="D44" s="2" t="s">
        <v>85</v>
      </c>
      <c r="E44" s="2"/>
      <c r="F44" s="2"/>
      <c r="G44" s="2"/>
      <c r="H44" s="2">
        <v>285</v>
      </c>
      <c r="I44" s="2">
        <v>292</v>
      </c>
      <c r="J44" s="2">
        <v>7</v>
      </c>
      <c r="K44" s="2">
        <v>2</v>
      </c>
      <c r="L44" s="2" t="s">
        <v>209</v>
      </c>
      <c r="M44" s="2" t="s">
        <v>210</v>
      </c>
      <c r="N44" s="4" t="s">
        <v>211</v>
      </c>
      <c r="O44" s="2" t="s">
        <v>1350</v>
      </c>
      <c r="P44" s="2"/>
      <c r="Q44" s="2"/>
      <c r="R44" s="2"/>
      <c r="S44" s="2"/>
      <c r="T44" s="2"/>
      <c r="U44" s="2"/>
      <c r="V44" s="2" t="s">
        <v>212</v>
      </c>
      <c r="W44" s="2" t="s">
        <v>213</v>
      </c>
      <c r="X44" t="s">
        <v>214</v>
      </c>
      <c r="Y44" s="2" t="s">
        <v>29</v>
      </c>
      <c r="Z44" s="2" t="s">
        <v>24</v>
      </c>
      <c r="AA44" s="2" t="s">
        <v>67</v>
      </c>
      <c r="AB44" s="2" t="s">
        <v>25</v>
      </c>
      <c r="AC44" s="2" t="s">
        <v>215</v>
      </c>
    </row>
    <row r="45" spans="1:29" ht="195" x14ac:dyDescent="0.25">
      <c r="A45" s="2" t="s">
        <v>290</v>
      </c>
      <c r="B45" s="2" t="s">
        <v>291</v>
      </c>
      <c r="C45" s="2">
        <v>2020</v>
      </c>
      <c r="D45" s="2" t="s">
        <v>292</v>
      </c>
      <c r="E45" s="2"/>
      <c r="F45" s="2"/>
      <c r="G45" s="2" t="s">
        <v>293</v>
      </c>
      <c r="H45" s="2"/>
      <c r="I45" s="2"/>
      <c r="J45" s="2"/>
      <c r="K45" s="2">
        <v>0</v>
      </c>
      <c r="L45" s="2" t="s">
        <v>294</v>
      </c>
      <c r="M45" s="12" t="s">
        <v>295</v>
      </c>
      <c r="N45" s="14" t="s">
        <v>296</v>
      </c>
      <c r="O45" s="2" t="s">
        <v>1351</v>
      </c>
      <c r="P45" s="2" t="s">
        <v>1350</v>
      </c>
      <c r="Q45" s="2"/>
      <c r="R45" s="2"/>
      <c r="S45" s="2"/>
      <c r="T45" s="2"/>
      <c r="U45" s="2"/>
      <c r="V45" s="2" t="s">
        <v>297</v>
      </c>
      <c r="W45" s="2" t="s">
        <v>298</v>
      </c>
      <c r="X45" t="s">
        <v>299</v>
      </c>
      <c r="Y45" s="2" t="s">
        <v>29</v>
      </c>
      <c r="Z45" s="2" t="s">
        <v>24</v>
      </c>
      <c r="AA45" s="2"/>
      <c r="AB45" s="2" t="s">
        <v>25</v>
      </c>
      <c r="AC45" s="2" t="s">
        <v>300</v>
      </c>
    </row>
    <row r="46" spans="1:29" ht="270" x14ac:dyDescent="0.25">
      <c r="A46" s="2" t="s">
        <v>386</v>
      </c>
      <c r="B46" s="2" t="s">
        <v>387</v>
      </c>
      <c r="C46" s="2">
        <v>2020</v>
      </c>
      <c r="D46" s="2" t="s">
        <v>388</v>
      </c>
      <c r="E46" s="2" t="s">
        <v>389</v>
      </c>
      <c r="F46" s="2"/>
      <c r="G46" s="2"/>
      <c r="H46" s="2">
        <v>317</v>
      </c>
      <c r="I46" s="2">
        <v>337</v>
      </c>
      <c r="J46" s="2">
        <v>20</v>
      </c>
      <c r="K46" s="2">
        <v>0</v>
      </c>
      <c r="L46" s="2" t="s">
        <v>390</v>
      </c>
      <c r="M46" s="2" t="s">
        <v>391</v>
      </c>
      <c r="N46" s="7" t="s">
        <v>392</v>
      </c>
      <c r="O46" s="2"/>
      <c r="P46" s="2"/>
      <c r="Q46" s="2"/>
      <c r="R46" s="2"/>
      <c r="S46" s="2"/>
      <c r="T46" s="2" t="s">
        <v>1371</v>
      </c>
      <c r="U46" s="2"/>
      <c r="V46" s="2" t="s">
        <v>393</v>
      </c>
      <c r="W46" s="2" t="s">
        <v>394</v>
      </c>
      <c r="X46" t="s">
        <v>395</v>
      </c>
      <c r="Y46" s="2" t="s">
        <v>29</v>
      </c>
      <c r="Z46" s="2" t="s">
        <v>24</v>
      </c>
      <c r="AA46" s="2"/>
      <c r="AB46" s="2" t="s">
        <v>25</v>
      </c>
      <c r="AC46" s="2" t="s">
        <v>396</v>
      </c>
    </row>
    <row r="47" spans="1:29" ht="210" x14ac:dyDescent="0.25">
      <c r="A47" s="2" t="s">
        <v>432</v>
      </c>
      <c r="B47" s="2" t="s">
        <v>433</v>
      </c>
      <c r="C47" s="2">
        <v>2020</v>
      </c>
      <c r="D47" s="2" t="s">
        <v>431</v>
      </c>
      <c r="E47" s="2" t="s">
        <v>434</v>
      </c>
      <c r="F47" s="2"/>
      <c r="G47" s="2" t="s">
        <v>435</v>
      </c>
      <c r="H47" s="2"/>
      <c r="I47" s="2"/>
      <c r="J47" s="2"/>
      <c r="K47" s="2">
        <v>3</v>
      </c>
      <c r="L47" s="2" t="s">
        <v>436</v>
      </c>
      <c r="M47" s="2" t="s">
        <v>437</v>
      </c>
      <c r="N47" s="4" t="s">
        <v>438</v>
      </c>
      <c r="O47" s="2" t="s">
        <v>1350</v>
      </c>
      <c r="P47" s="2"/>
      <c r="Q47" s="2"/>
      <c r="R47" s="2"/>
      <c r="S47" s="2"/>
      <c r="T47" s="2"/>
      <c r="U47" s="2"/>
      <c r="V47" s="2"/>
      <c r="W47" s="2" t="s">
        <v>439</v>
      </c>
      <c r="X47" t="s">
        <v>440</v>
      </c>
      <c r="Y47" s="2" t="s">
        <v>29</v>
      </c>
      <c r="Z47" s="2" t="s">
        <v>24</v>
      </c>
      <c r="AA47" s="2" t="s">
        <v>30</v>
      </c>
      <c r="AB47" s="2" t="s">
        <v>25</v>
      </c>
      <c r="AC47" s="2" t="s">
        <v>441</v>
      </c>
    </row>
    <row r="48" spans="1:29" ht="195" x14ac:dyDescent="0.25">
      <c r="A48" s="2" t="s">
        <v>480</v>
      </c>
      <c r="B48" s="2" t="s">
        <v>481</v>
      </c>
      <c r="C48" s="2">
        <v>2020</v>
      </c>
      <c r="D48" s="2" t="s">
        <v>324</v>
      </c>
      <c r="E48" s="2" t="s">
        <v>482</v>
      </c>
      <c r="F48" s="2" t="s">
        <v>22</v>
      </c>
      <c r="G48" s="2"/>
      <c r="H48" s="2">
        <v>95</v>
      </c>
      <c r="I48" s="2">
        <v>120</v>
      </c>
      <c r="J48" s="2">
        <v>25</v>
      </c>
      <c r="K48" s="2">
        <v>12</v>
      </c>
      <c r="L48" s="2" t="s">
        <v>483</v>
      </c>
      <c r="M48" s="2" t="s">
        <v>484</v>
      </c>
      <c r="N48" s="4" t="s">
        <v>485</v>
      </c>
      <c r="O48" s="2" t="s">
        <v>1350</v>
      </c>
      <c r="P48" s="2"/>
      <c r="Q48" s="2"/>
      <c r="R48" s="2"/>
      <c r="S48" s="2"/>
      <c r="T48" s="2"/>
      <c r="U48" s="2"/>
      <c r="V48" s="2" t="s">
        <v>486</v>
      </c>
      <c r="W48" s="2" t="s">
        <v>487</v>
      </c>
      <c r="X48" t="s">
        <v>488</v>
      </c>
      <c r="Y48" s="2" t="s">
        <v>23</v>
      </c>
      <c r="Z48" s="2" t="s">
        <v>24</v>
      </c>
      <c r="AA48" s="2"/>
      <c r="AB48" s="2" t="s">
        <v>25</v>
      </c>
      <c r="AC48" s="2" t="s">
        <v>489</v>
      </c>
    </row>
    <row r="49" spans="1:29" ht="150" x14ac:dyDescent="0.25">
      <c r="A49" s="2" t="s">
        <v>499</v>
      </c>
      <c r="B49" s="2" t="s">
        <v>500</v>
      </c>
      <c r="C49" s="2">
        <v>2020</v>
      </c>
      <c r="D49" s="2" t="s">
        <v>431</v>
      </c>
      <c r="E49" s="2" t="s">
        <v>434</v>
      </c>
      <c r="F49" s="2"/>
      <c r="G49" s="2" t="s">
        <v>501</v>
      </c>
      <c r="H49" s="2"/>
      <c r="I49" s="2"/>
      <c r="J49" s="2"/>
      <c r="K49" s="2">
        <v>2</v>
      </c>
      <c r="L49" s="2" t="s">
        <v>502</v>
      </c>
      <c r="M49" s="2" t="s">
        <v>503</v>
      </c>
      <c r="N49" s="4" t="s">
        <v>504</v>
      </c>
      <c r="O49" s="2" t="s">
        <v>1350</v>
      </c>
      <c r="P49" s="2"/>
      <c r="Q49" s="2"/>
      <c r="R49" s="2"/>
      <c r="S49" s="2"/>
      <c r="T49" s="2"/>
      <c r="U49" s="2"/>
      <c r="V49" s="2"/>
      <c r="W49" s="2" t="s">
        <v>505</v>
      </c>
      <c r="X49" t="s">
        <v>506</v>
      </c>
      <c r="Y49" s="2" t="s">
        <v>29</v>
      </c>
      <c r="Z49" s="2" t="s">
        <v>24</v>
      </c>
      <c r="AA49" s="2" t="s">
        <v>30</v>
      </c>
      <c r="AB49" s="2" t="s">
        <v>25</v>
      </c>
      <c r="AC49" s="2" t="s">
        <v>507</v>
      </c>
    </row>
    <row r="50" spans="1:29" ht="150" x14ac:dyDescent="0.25">
      <c r="A50" s="2" t="s">
        <v>548</v>
      </c>
      <c r="B50" s="2" t="s">
        <v>549</v>
      </c>
      <c r="C50" s="2">
        <v>2020</v>
      </c>
      <c r="D50" s="2" t="s">
        <v>550</v>
      </c>
      <c r="E50" s="2" t="s">
        <v>261</v>
      </c>
      <c r="F50" s="2" t="s">
        <v>72</v>
      </c>
      <c r="G50" s="2" t="s">
        <v>551</v>
      </c>
      <c r="H50" s="2"/>
      <c r="I50" s="2"/>
      <c r="J50" s="2"/>
      <c r="K50" s="2">
        <v>7</v>
      </c>
      <c r="L50" s="2" t="s">
        <v>552</v>
      </c>
      <c r="M50" s="2" t="s">
        <v>553</v>
      </c>
      <c r="N50" s="4" t="s">
        <v>554</v>
      </c>
      <c r="O50" s="2" t="s">
        <v>1350</v>
      </c>
      <c r="P50" s="2"/>
      <c r="Q50" s="2"/>
      <c r="R50" s="2"/>
      <c r="S50" s="2"/>
      <c r="T50" s="2"/>
      <c r="U50" s="2"/>
      <c r="V50" s="2" t="s">
        <v>555</v>
      </c>
      <c r="W50" s="2" t="s">
        <v>556</v>
      </c>
      <c r="X50" t="s">
        <v>557</v>
      </c>
      <c r="Y50" s="2" t="s">
        <v>23</v>
      </c>
      <c r="Z50" s="2" t="s">
        <v>24</v>
      </c>
      <c r="AA50" s="2" t="s">
        <v>30</v>
      </c>
      <c r="AB50" s="2" t="s">
        <v>25</v>
      </c>
      <c r="AC50" s="2" t="s">
        <v>558</v>
      </c>
    </row>
    <row r="51" spans="1:29" ht="135" x14ac:dyDescent="0.25">
      <c r="A51" s="2" t="s">
        <v>31</v>
      </c>
      <c r="B51" s="2" t="s">
        <v>32</v>
      </c>
      <c r="C51" s="2">
        <v>2019</v>
      </c>
      <c r="D51" s="2" t="s">
        <v>33</v>
      </c>
      <c r="E51" s="2" t="s">
        <v>34</v>
      </c>
      <c r="F51" s="2"/>
      <c r="G51" s="2"/>
      <c r="H51" s="2">
        <v>12</v>
      </c>
      <c r="I51" s="2">
        <v>21</v>
      </c>
      <c r="J51" s="2">
        <v>9</v>
      </c>
      <c r="K51" s="2">
        <v>15</v>
      </c>
      <c r="L51" s="2" t="s">
        <v>35</v>
      </c>
      <c r="M51" s="2" t="s">
        <v>36</v>
      </c>
      <c r="N51" s="3" t="s">
        <v>37</v>
      </c>
      <c r="O51" s="4" t="s">
        <v>1350</v>
      </c>
      <c r="P51" s="4"/>
      <c r="Q51" s="4"/>
      <c r="R51" s="4"/>
      <c r="S51" s="4"/>
      <c r="T51" s="4"/>
      <c r="U51" s="3"/>
      <c r="V51" s="2" t="s">
        <v>38</v>
      </c>
      <c r="W51" s="2" t="s">
        <v>39</v>
      </c>
      <c r="X51" t="s">
        <v>40</v>
      </c>
      <c r="Y51" s="2" t="s">
        <v>23</v>
      </c>
      <c r="Z51" s="2" t="s">
        <v>24</v>
      </c>
      <c r="AA51" s="2" t="s">
        <v>41</v>
      </c>
      <c r="AB51" s="2" t="s">
        <v>25</v>
      </c>
      <c r="AC51" s="2" t="s">
        <v>42</v>
      </c>
    </row>
    <row r="52" spans="1:29" ht="225" x14ac:dyDescent="0.25">
      <c r="A52" s="2" t="s">
        <v>43</v>
      </c>
      <c r="B52" s="2" t="s">
        <v>44</v>
      </c>
      <c r="C52" s="2">
        <v>2019</v>
      </c>
      <c r="D52" s="2" t="s">
        <v>45</v>
      </c>
      <c r="E52" s="2" t="s">
        <v>46</v>
      </c>
      <c r="F52" s="2"/>
      <c r="G52" s="2" t="s">
        <v>47</v>
      </c>
      <c r="H52" s="2"/>
      <c r="I52" s="2"/>
      <c r="J52" s="2"/>
      <c r="K52" s="2">
        <v>20</v>
      </c>
      <c r="L52" s="2" t="s">
        <v>48</v>
      </c>
      <c r="M52" s="2" t="s">
        <v>49</v>
      </c>
      <c r="N52" s="4" t="s">
        <v>50</v>
      </c>
      <c r="O52" s="4" t="s">
        <v>1350</v>
      </c>
      <c r="P52" s="4"/>
      <c r="Q52" s="4"/>
      <c r="R52" s="4"/>
      <c r="S52" s="4" t="s">
        <v>1415</v>
      </c>
      <c r="T52" s="4"/>
      <c r="U52" s="4"/>
      <c r="V52" s="2" t="s">
        <v>51</v>
      </c>
      <c r="W52" s="2" t="s">
        <v>52</v>
      </c>
      <c r="X52" t="s">
        <v>53</v>
      </c>
      <c r="Y52" s="2" t="s">
        <v>23</v>
      </c>
      <c r="Z52" s="2" t="s">
        <v>24</v>
      </c>
      <c r="AA52" s="2"/>
      <c r="AB52" s="2" t="s">
        <v>25</v>
      </c>
      <c r="AC52" s="2" t="s">
        <v>54</v>
      </c>
    </row>
    <row r="53" spans="1:29" ht="225" x14ac:dyDescent="0.25">
      <c r="A53" s="2" t="s">
        <v>68</v>
      </c>
      <c r="B53" s="2" t="s">
        <v>69</v>
      </c>
      <c r="C53" s="2">
        <v>2019</v>
      </c>
      <c r="D53" s="2" t="s">
        <v>70</v>
      </c>
      <c r="E53" s="2" t="s">
        <v>71</v>
      </c>
      <c r="F53" s="2" t="s">
        <v>72</v>
      </c>
      <c r="G53" s="2"/>
      <c r="H53" s="2">
        <v>269</v>
      </c>
      <c r="I53" s="2">
        <v>278</v>
      </c>
      <c r="J53" s="2">
        <v>9</v>
      </c>
      <c r="K53" s="2">
        <v>2</v>
      </c>
      <c r="L53" s="2" t="s">
        <v>73</v>
      </c>
      <c r="M53" s="12" t="s">
        <v>74</v>
      </c>
      <c r="N53" s="14" t="s">
        <v>75</v>
      </c>
      <c r="O53" s="2" t="s">
        <v>1351</v>
      </c>
      <c r="P53" s="2" t="s">
        <v>1351</v>
      </c>
      <c r="Q53" s="2" t="s">
        <v>1371</v>
      </c>
      <c r="R53" s="19"/>
      <c r="S53" s="19"/>
      <c r="T53" s="19"/>
      <c r="U53" s="2"/>
      <c r="V53" s="2" t="s">
        <v>76</v>
      </c>
      <c r="W53" s="2"/>
      <c r="X53" t="s">
        <v>77</v>
      </c>
      <c r="Y53" s="2" t="s">
        <v>23</v>
      </c>
      <c r="Z53" s="2" t="s">
        <v>24</v>
      </c>
      <c r="AA53" s="2" t="s">
        <v>41</v>
      </c>
      <c r="AB53" s="2" t="s">
        <v>25</v>
      </c>
      <c r="AC53" s="2" t="s">
        <v>78</v>
      </c>
    </row>
    <row r="54" spans="1:29" ht="135" x14ac:dyDescent="0.25">
      <c r="A54" s="2" t="s">
        <v>118</v>
      </c>
      <c r="B54" s="2" t="s">
        <v>119</v>
      </c>
      <c r="C54" s="2">
        <v>2019</v>
      </c>
      <c r="D54" s="2" t="s">
        <v>120</v>
      </c>
      <c r="E54" s="2" t="s">
        <v>121</v>
      </c>
      <c r="F54" s="2"/>
      <c r="G54" s="2"/>
      <c r="H54" s="2">
        <v>3</v>
      </c>
      <c r="I54" s="2">
        <v>10</v>
      </c>
      <c r="J54" s="2">
        <v>7</v>
      </c>
      <c r="K54" s="2">
        <v>1</v>
      </c>
      <c r="L54" s="2"/>
      <c r="M54" s="2" t="s">
        <v>122</v>
      </c>
      <c r="N54" s="4" t="s">
        <v>123</v>
      </c>
      <c r="O54" s="2" t="s">
        <v>1350</v>
      </c>
      <c r="P54" s="2"/>
      <c r="Q54" s="2"/>
      <c r="S54" s="2" t="s">
        <v>1415</v>
      </c>
      <c r="T54" s="2"/>
      <c r="U54" s="2" t="s">
        <v>1352</v>
      </c>
      <c r="V54" s="2"/>
      <c r="W54" s="2" t="s">
        <v>124</v>
      </c>
      <c r="X54" t="s">
        <v>125</v>
      </c>
      <c r="Y54" s="2" t="s">
        <v>29</v>
      </c>
      <c r="Z54" s="2" t="s">
        <v>24</v>
      </c>
      <c r="AA54" s="2"/>
      <c r="AB54" s="2" t="s">
        <v>25</v>
      </c>
      <c r="AC54" s="2" t="s">
        <v>126</v>
      </c>
    </row>
    <row r="55" spans="1:29" ht="195" x14ac:dyDescent="0.25">
      <c r="A55" s="2" t="s">
        <v>162</v>
      </c>
      <c r="B55" s="2" t="s">
        <v>163</v>
      </c>
      <c r="C55" s="2">
        <v>2019</v>
      </c>
      <c r="D55" s="2" t="s">
        <v>164</v>
      </c>
      <c r="E55" s="2" t="s">
        <v>165</v>
      </c>
      <c r="F55" s="2" t="s">
        <v>153</v>
      </c>
      <c r="G55" s="2"/>
      <c r="H55" s="2">
        <v>426</v>
      </c>
      <c r="I55" s="2">
        <v>447</v>
      </c>
      <c r="J55" s="2">
        <v>21</v>
      </c>
      <c r="K55" s="2">
        <v>6</v>
      </c>
      <c r="L55" s="2" t="s">
        <v>166</v>
      </c>
      <c r="M55" s="12" t="s">
        <v>167</v>
      </c>
      <c r="N55" s="14" t="s">
        <v>168</v>
      </c>
      <c r="O55" s="2" t="s">
        <v>1351</v>
      </c>
      <c r="P55" s="2" t="s">
        <v>1351</v>
      </c>
      <c r="Q55" s="2" t="s">
        <v>1371</v>
      </c>
      <c r="R55" s="2"/>
      <c r="S55" s="2"/>
      <c r="T55" s="2"/>
      <c r="U55" s="2"/>
      <c r="V55" s="2" t="s">
        <v>169</v>
      </c>
      <c r="W55" s="2" t="s">
        <v>170</v>
      </c>
      <c r="X55" t="s">
        <v>171</v>
      </c>
      <c r="Y55" s="2" t="s">
        <v>23</v>
      </c>
      <c r="Z55" s="2" t="s">
        <v>24</v>
      </c>
      <c r="AA55" s="2"/>
      <c r="AB55" s="2" t="s">
        <v>25</v>
      </c>
      <c r="AC55" s="2" t="s">
        <v>172</v>
      </c>
    </row>
    <row r="56" spans="1:29" ht="225" x14ac:dyDescent="0.25">
      <c r="A56" s="2" t="s">
        <v>173</v>
      </c>
      <c r="B56" s="2" t="s">
        <v>174</v>
      </c>
      <c r="C56" s="2">
        <v>2019</v>
      </c>
      <c r="D56" s="2" t="s">
        <v>175</v>
      </c>
      <c r="E56" s="2" t="s">
        <v>176</v>
      </c>
      <c r="F56" s="2"/>
      <c r="G56" s="2" t="s">
        <v>177</v>
      </c>
      <c r="H56" s="2"/>
      <c r="I56" s="2"/>
      <c r="J56" s="2"/>
      <c r="K56" s="2">
        <v>15</v>
      </c>
      <c r="L56" s="2" t="s">
        <v>178</v>
      </c>
      <c r="M56" s="12" t="s">
        <v>179</v>
      </c>
      <c r="N56" s="14" t="s">
        <v>180</v>
      </c>
      <c r="O56" s="2" t="s">
        <v>1351</v>
      </c>
      <c r="P56" s="2" t="s">
        <v>1351</v>
      </c>
      <c r="Q56" s="2"/>
      <c r="R56" s="2"/>
      <c r="S56" s="2"/>
      <c r="T56" s="2"/>
      <c r="U56" s="2"/>
      <c r="V56" s="2" t="s">
        <v>181</v>
      </c>
      <c r="W56" s="2" t="s">
        <v>182</v>
      </c>
      <c r="X56" t="s">
        <v>183</v>
      </c>
      <c r="Y56" s="2" t="s">
        <v>23</v>
      </c>
      <c r="Z56" s="2" t="s">
        <v>24</v>
      </c>
      <c r="AA56" s="2" t="s">
        <v>86</v>
      </c>
      <c r="AB56" s="2" t="s">
        <v>25</v>
      </c>
      <c r="AC56" s="2" t="s">
        <v>184</v>
      </c>
    </row>
    <row r="57" spans="1:29" ht="180" x14ac:dyDescent="0.25">
      <c r="A57" s="2" t="s">
        <v>216</v>
      </c>
      <c r="B57" s="2" t="s">
        <v>217</v>
      </c>
      <c r="C57" s="2">
        <v>2019</v>
      </c>
      <c r="D57" s="2" t="s">
        <v>45</v>
      </c>
      <c r="E57" s="2" t="s">
        <v>218</v>
      </c>
      <c r="F57" s="2"/>
      <c r="G57" s="2"/>
      <c r="H57" s="2">
        <v>172</v>
      </c>
      <c r="I57" s="2">
        <v>181</v>
      </c>
      <c r="J57" s="2">
        <v>9</v>
      </c>
      <c r="K57" s="2">
        <v>9</v>
      </c>
      <c r="L57" s="2" t="s">
        <v>219</v>
      </c>
      <c r="M57" s="2" t="s">
        <v>220</v>
      </c>
      <c r="N57" s="4" t="s">
        <v>221</v>
      </c>
      <c r="O57" s="2" t="s">
        <v>1350</v>
      </c>
      <c r="P57" s="2"/>
      <c r="Q57" s="2"/>
      <c r="R57" s="2"/>
      <c r="S57" s="2" t="s">
        <v>1415</v>
      </c>
      <c r="T57" s="2"/>
      <c r="V57" s="2" t="s">
        <v>222</v>
      </c>
      <c r="W57" s="2" t="s">
        <v>223</v>
      </c>
      <c r="X57" t="s">
        <v>224</v>
      </c>
      <c r="Y57" s="2" t="s">
        <v>23</v>
      </c>
      <c r="Z57" s="2" t="s">
        <v>24</v>
      </c>
      <c r="AA57" s="2"/>
      <c r="AB57" s="2" t="s">
        <v>25</v>
      </c>
      <c r="AC57" s="2" t="s">
        <v>225</v>
      </c>
    </row>
    <row r="58" spans="1:29" ht="195" x14ac:dyDescent="0.25">
      <c r="A58" s="2" t="s">
        <v>280</v>
      </c>
      <c r="B58" s="2" t="s">
        <v>281</v>
      </c>
      <c r="C58" s="2">
        <v>2019</v>
      </c>
      <c r="D58" s="2" t="s">
        <v>45</v>
      </c>
      <c r="E58" s="2" t="s">
        <v>282</v>
      </c>
      <c r="F58" s="2"/>
      <c r="G58" s="2"/>
      <c r="H58" s="2">
        <v>677</v>
      </c>
      <c r="I58" s="2">
        <v>688</v>
      </c>
      <c r="J58" s="2">
        <v>11</v>
      </c>
      <c r="K58" s="2">
        <v>19</v>
      </c>
      <c r="L58" s="2" t="s">
        <v>283</v>
      </c>
      <c r="M58" s="2" t="s">
        <v>284</v>
      </c>
      <c r="N58" s="4" t="s">
        <v>285</v>
      </c>
      <c r="O58" s="2" t="s">
        <v>1350</v>
      </c>
      <c r="P58" s="2"/>
      <c r="Q58" s="2"/>
      <c r="R58" s="2"/>
      <c r="S58" s="2" t="s">
        <v>1415</v>
      </c>
      <c r="T58" s="2"/>
      <c r="V58" s="2" t="s">
        <v>286</v>
      </c>
      <c r="W58" s="2" t="s">
        <v>287</v>
      </c>
      <c r="X58" t="s">
        <v>288</v>
      </c>
      <c r="Y58" s="2" t="s">
        <v>23</v>
      </c>
      <c r="Z58" s="2" t="s">
        <v>24</v>
      </c>
      <c r="AA58" s="2"/>
      <c r="AB58" s="2" t="s">
        <v>25</v>
      </c>
      <c r="AC58" s="2" t="s">
        <v>289</v>
      </c>
    </row>
    <row r="59" spans="1:29" ht="135" x14ac:dyDescent="0.25">
      <c r="A59" s="2" t="s">
        <v>345</v>
      </c>
      <c r="B59" s="2" t="s">
        <v>346</v>
      </c>
      <c r="C59" s="2">
        <v>2019</v>
      </c>
      <c r="D59" s="2" t="s">
        <v>347</v>
      </c>
      <c r="E59" s="2" t="s">
        <v>79</v>
      </c>
      <c r="F59" s="2" t="s">
        <v>28</v>
      </c>
      <c r="G59" s="2"/>
      <c r="H59" s="2">
        <v>518</v>
      </c>
      <c r="I59" s="2">
        <v>536</v>
      </c>
      <c r="J59" s="2">
        <v>18</v>
      </c>
      <c r="K59" s="2">
        <v>3</v>
      </c>
      <c r="L59" s="2" t="s">
        <v>348</v>
      </c>
      <c r="M59" s="2" t="s">
        <v>349</v>
      </c>
      <c r="N59" s="11" t="s">
        <v>350</v>
      </c>
      <c r="O59" s="2" t="s">
        <v>1350</v>
      </c>
      <c r="P59" s="2"/>
      <c r="Q59" s="2"/>
      <c r="R59" s="2"/>
      <c r="S59" s="2"/>
      <c r="T59" s="2" t="s">
        <v>1371</v>
      </c>
      <c r="U59" s="2"/>
      <c r="V59" s="2" t="s">
        <v>351</v>
      </c>
      <c r="W59" s="2" t="s">
        <v>352</v>
      </c>
      <c r="X59" t="s">
        <v>353</v>
      </c>
      <c r="Y59" s="2" t="s">
        <v>23</v>
      </c>
      <c r="Z59" s="2" t="s">
        <v>24</v>
      </c>
      <c r="AA59" s="2" t="s">
        <v>64</v>
      </c>
      <c r="AB59" s="2" t="s">
        <v>25</v>
      </c>
      <c r="AC59" s="2" t="s">
        <v>354</v>
      </c>
    </row>
    <row r="60" spans="1:29" ht="225" x14ac:dyDescent="0.25">
      <c r="A60" s="2" t="s">
        <v>409</v>
      </c>
      <c r="B60" s="2" t="s">
        <v>410</v>
      </c>
      <c r="C60" s="2">
        <v>2019</v>
      </c>
      <c r="D60" s="2" t="s">
        <v>45</v>
      </c>
      <c r="E60" s="2" t="s">
        <v>282</v>
      </c>
      <c r="F60" s="2"/>
      <c r="G60" s="2"/>
      <c r="H60" s="2">
        <v>524</v>
      </c>
      <c r="I60" s="2">
        <v>534</v>
      </c>
      <c r="J60" s="2">
        <v>10</v>
      </c>
      <c r="K60" s="2">
        <v>35</v>
      </c>
      <c r="L60" s="2" t="s">
        <v>411</v>
      </c>
      <c r="M60" s="12" t="s">
        <v>412</v>
      </c>
      <c r="N60" s="14" t="s">
        <v>413</v>
      </c>
      <c r="O60" s="2" t="s">
        <v>1351</v>
      </c>
      <c r="P60" s="2" t="s">
        <v>1351</v>
      </c>
      <c r="Q60" s="2" t="s">
        <v>1371</v>
      </c>
      <c r="R60" s="2"/>
      <c r="S60" s="2"/>
      <c r="T60" s="2"/>
      <c r="U60" s="2"/>
      <c r="V60" s="2" t="s">
        <v>414</v>
      </c>
      <c r="W60" s="2" t="s">
        <v>415</v>
      </c>
      <c r="X60" t="s">
        <v>416</v>
      </c>
      <c r="Y60" s="2" t="s">
        <v>23</v>
      </c>
      <c r="Z60" s="2" t="s">
        <v>24</v>
      </c>
      <c r="AA60" s="2" t="s">
        <v>41</v>
      </c>
      <c r="AB60" s="2" t="s">
        <v>25</v>
      </c>
      <c r="AC60" s="2" t="s">
        <v>417</v>
      </c>
    </row>
    <row r="61" spans="1:29" ht="285" x14ac:dyDescent="0.25">
      <c r="A61" s="2" t="s">
        <v>89</v>
      </c>
      <c r="B61" s="2" t="s">
        <v>442</v>
      </c>
      <c r="C61" s="2">
        <v>2018</v>
      </c>
      <c r="D61" s="2" t="s">
        <v>45</v>
      </c>
      <c r="E61" s="2" t="s">
        <v>443</v>
      </c>
      <c r="F61" s="2"/>
      <c r="G61" s="2"/>
      <c r="H61" s="2">
        <v>12</v>
      </c>
      <c r="I61" s="2">
        <v>28</v>
      </c>
      <c r="J61" s="2">
        <v>16</v>
      </c>
      <c r="K61" s="2">
        <v>36</v>
      </c>
      <c r="L61" s="2" t="s">
        <v>444</v>
      </c>
      <c r="M61" s="12" t="s">
        <v>445</v>
      </c>
      <c r="N61" s="14" t="s">
        <v>446</v>
      </c>
      <c r="O61" s="2" t="s">
        <v>1351</v>
      </c>
      <c r="P61" s="2" t="s">
        <v>1350</v>
      </c>
      <c r="Q61" s="2"/>
      <c r="R61" s="2"/>
      <c r="S61" s="2" t="s">
        <v>1415</v>
      </c>
      <c r="T61" s="2"/>
      <c r="V61" s="2" t="s">
        <v>447</v>
      </c>
      <c r="W61" s="2" t="s">
        <v>448</v>
      </c>
      <c r="X61" t="s">
        <v>449</v>
      </c>
      <c r="Y61" s="2" t="s">
        <v>23</v>
      </c>
      <c r="Z61" s="2" t="s">
        <v>24</v>
      </c>
      <c r="AA61" s="2"/>
      <c r="AB61" s="2" t="s">
        <v>25</v>
      </c>
      <c r="AC61" s="2" t="s">
        <v>450</v>
      </c>
    </row>
    <row r="62" spans="1:29" ht="210" x14ac:dyDescent="0.25">
      <c r="A62" s="2" t="s">
        <v>89</v>
      </c>
      <c r="B62" s="2" t="s">
        <v>90</v>
      </c>
      <c r="C62" s="2">
        <v>2017</v>
      </c>
      <c r="D62" s="2" t="s">
        <v>45</v>
      </c>
      <c r="E62" s="2" t="s">
        <v>91</v>
      </c>
      <c r="F62" s="2"/>
      <c r="G62" s="2"/>
      <c r="H62" s="2">
        <v>363</v>
      </c>
      <c r="I62" s="2">
        <v>377</v>
      </c>
      <c r="J62" s="2">
        <v>14</v>
      </c>
      <c r="K62" s="2">
        <v>21</v>
      </c>
      <c r="L62" s="2" t="s">
        <v>92</v>
      </c>
      <c r="M62" s="12" t="s">
        <v>93</v>
      </c>
      <c r="N62" s="14" t="s">
        <v>94</v>
      </c>
      <c r="O62" s="2" t="s">
        <v>1351</v>
      </c>
      <c r="P62" s="2" t="s">
        <v>1351</v>
      </c>
      <c r="Q62" s="2" t="s">
        <v>1371</v>
      </c>
      <c r="R62" s="2"/>
      <c r="S62" s="2"/>
      <c r="T62" s="2"/>
      <c r="U62" s="2"/>
      <c r="V62" s="2" t="s">
        <v>95</v>
      </c>
      <c r="W62" s="2" t="s">
        <v>96</v>
      </c>
      <c r="X62" t="s">
        <v>97</v>
      </c>
      <c r="Y62" s="2" t="s">
        <v>23</v>
      </c>
      <c r="Z62" s="2" t="s">
        <v>24</v>
      </c>
      <c r="AA62" s="2"/>
      <c r="AB62" s="2" t="s">
        <v>25</v>
      </c>
      <c r="AC62" s="2" t="s">
        <v>98</v>
      </c>
    </row>
    <row r="63" spans="1:29" ht="150" x14ac:dyDescent="0.25">
      <c r="A63" s="2" t="s">
        <v>409</v>
      </c>
      <c r="B63" s="2" t="s">
        <v>559</v>
      </c>
      <c r="C63" s="2">
        <v>2017</v>
      </c>
      <c r="D63" s="2" t="s">
        <v>560</v>
      </c>
      <c r="E63" s="2" t="s">
        <v>561</v>
      </c>
      <c r="F63" s="2"/>
      <c r="G63" s="2"/>
      <c r="H63" s="2">
        <v>664</v>
      </c>
      <c r="I63" s="2">
        <v>669</v>
      </c>
      <c r="J63" s="2">
        <v>5</v>
      </c>
      <c r="K63" s="2">
        <v>14</v>
      </c>
      <c r="L63" s="2" t="s">
        <v>562</v>
      </c>
      <c r="M63" s="2" t="s">
        <v>563</v>
      </c>
      <c r="N63" s="4" t="s">
        <v>564</v>
      </c>
      <c r="O63" s="2" t="s">
        <v>1350</v>
      </c>
      <c r="P63" s="2"/>
      <c r="Q63" s="2"/>
      <c r="R63" s="2"/>
      <c r="S63" s="2"/>
      <c r="T63" s="2"/>
      <c r="U63" s="2"/>
      <c r="V63" s="2" t="s">
        <v>565</v>
      </c>
      <c r="W63" s="2" t="s">
        <v>566</v>
      </c>
      <c r="X63" t="s">
        <v>567</v>
      </c>
      <c r="Y63" s="2" t="s">
        <v>29</v>
      </c>
      <c r="Z63" s="2" t="s">
        <v>24</v>
      </c>
      <c r="AA63" s="2" t="s">
        <v>30</v>
      </c>
      <c r="AB63" s="2" t="s">
        <v>25</v>
      </c>
      <c r="AC63" s="2" t="s">
        <v>568</v>
      </c>
    </row>
    <row r="64" spans="1:29" ht="225" x14ac:dyDescent="0.25">
      <c r="A64" s="2" t="s">
        <v>480</v>
      </c>
      <c r="B64" s="2" t="s">
        <v>588</v>
      </c>
      <c r="C64" s="2">
        <v>2017</v>
      </c>
      <c r="D64" s="2" t="s">
        <v>45</v>
      </c>
      <c r="E64" s="2" t="s">
        <v>91</v>
      </c>
      <c r="F64" s="2"/>
      <c r="G64" s="2"/>
      <c r="H64" s="2">
        <v>133</v>
      </c>
      <c r="I64" s="2">
        <v>145</v>
      </c>
      <c r="J64" s="2">
        <v>12</v>
      </c>
      <c r="K64" s="2">
        <v>15</v>
      </c>
      <c r="L64" s="2" t="s">
        <v>589</v>
      </c>
      <c r="M64" s="2" t="s">
        <v>590</v>
      </c>
      <c r="N64" s="4" t="s">
        <v>591</v>
      </c>
      <c r="O64" s="2" t="s">
        <v>1350</v>
      </c>
      <c r="P64" s="2"/>
      <c r="Q64" s="2"/>
      <c r="R64" s="2"/>
      <c r="S64" s="2"/>
      <c r="T64" s="2"/>
      <c r="U64" s="2"/>
      <c r="V64" s="2" t="s">
        <v>592</v>
      </c>
      <c r="W64" s="2" t="s">
        <v>593</v>
      </c>
      <c r="X64" t="s">
        <v>594</v>
      </c>
      <c r="Y64" s="2" t="s">
        <v>23</v>
      </c>
      <c r="Z64" s="2" t="s">
        <v>24</v>
      </c>
      <c r="AA64" s="2" t="s">
        <v>41</v>
      </c>
      <c r="AB64" s="2" t="s">
        <v>25</v>
      </c>
      <c r="AC64" s="2" t="s">
        <v>595</v>
      </c>
    </row>
    <row r="65" spans="1:29" ht="180" x14ac:dyDescent="0.25">
      <c r="A65" s="2" t="s">
        <v>623</v>
      </c>
      <c r="B65" s="2" t="s">
        <v>624</v>
      </c>
      <c r="C65" s="2">
        <v>2017</v>
      </c>
      <c r="D65" s="2" t="s">
        <v>560</v>
      </c>
      <c r="E65" s="2" t="s">
        <v>561</v>
      </c>
      <c r="F65" s="2"/>
      <c r="G65" s="2"/>
      <c r="H65" s="2">
        <v>759</v>
      </c>
      <c r="I65" s="2">
        <v>764</v>
      </c>
      <c r="J65" s="2">
        <v>5</v>
      </c>
      <c r="K65" s="2">
        <v>2</v>
      </c>
      <c r="L65" s="2" t="s">
        <v>625</v>
      </c>
      <c r="M65" s="12" t="s">
        <v>626</v>
      </c>
      <c r="N65" s="14" t="s">
        <v>627</v>
      </c>
      <c r="O65" s="2" t="s">
        <v>1351</v>
      </c>
      <c r="P65" s="2" t="s">
        <v>1350</v>
      </c>
      <c r="Q65" s="2"/>
      <c r="R65" s="2"/>
      <c r="S65" s="2"/>
      <c r="T65" s="2"/>
      <c r="U65" s="2"/>
      <c r="V65" s="2" t="s">
        <v>628</v>
      </c>
      <c r="W65" s="2" t="s">
        <v>629</v>
      </c>
      <c r="X65" t="s">
        <v>630</v>
      </c>
      <c r="Y65" s="2" t="s">
        <v>29</v>
      </c>
      <c r="Z65" s="2" t="s">
        <v>24</v>
      </c>
      <c r="AA65" s="2" t="s">
        <v>64</v>
      </c>
      <c r="AB65" s="2" t="s">
        <v>25</v>
      </c>
      <c r="AC65" s="2" t="s">
        <v>631</v>
      </c>
    </row>
    <row r="66" spans="1:29" ht="210" x14ac:dyDescent="0.25">
      <c r="A66" s="2" t="s">
        <v>741</v>
      </c>
      <c r="B66" s="2" t="s">
        <v>742</v>
      </c>
      <c r="C66" s="2">
        <v>2017</v>
      </c>
      <c r="D66" s="2" t="s">
        <v>560</v>
      </c>
      <c r="E66" s="2" t="s">
        <v>561</v>
      </c>
      <c r="F66" s="2"/>
      <c r="G66" s="2"/>
      <c r="H66" s="2">
        <v>855</v>
      </c>
      <c r="I66" s="2">
        <v>860</v>
      </c>
      <c r="J66" s="2">
        <v>5</v>
      </c>
      <c r="K66" s="2">
        <v>2</v>
      </c>
      <c r="L66" s="2" t="s">
        <v>743</v>
      </c>
      <c r="M66" s="12" t="s">
        <v>744</v>
      </c>
      <c r="N66" s="14" t="s">
        <v>745</v>
      </c>
      <c r="O66" s="2" t="s">
        <v>1351</v>
      </c>
      <c r="P66" s="2" t="s">
        <v>1350</v>
      </c>
      <c r="Q66" s="2"/>
      <c r="R66" s="2"/>
      <c r="S66" s="2"/>
      <c r="T66" s="2"/>
      <c r="U66" s="2"/>
      <c r="V66" s="2" t="s">
        <v>746</v>
      </c>
      <c r="W66" s="2" t="s">
        <v>747</v>
      </c>
      <c r="X66" t="s">
        <v>748</v>
      </c>
      <c r="Y66" s="2" t="s">
        <v>29</v>
      </c>
      <c r="Z66" s="2" t="s">
        <v>24</v>
      </c>
      <c r="AA66" s="2" t="s">
        <v>64</v>
      </c>
      <c r="AB66" s="2" t="s">
        <v>25</v>
      </c>
      <c r="AC66" s="2" t="s">
        <v>749</v>
      </c>
    </row>
    <row r="67" spans="1:29" ht="210" x14ac:dyDescent="0.25">
      <c r="A67" s="2" t="s">
        <v>822</v>
      </c>
      <c r="B67" s="2" t="s">
        <v>823</v>
      </c>
      <c r="C67" s="2">
        <v>2017</v>
      </c>
      <c r="D67" s="2" t="s">
        <v>324</v>
      </c>
      <c r="E67" s="2" t="s">
        <v>71</v>
      </c>
      <c r="F67" s="2" t="s">
        <v>22</v>
      </c>
      <c r="G67" s="2"/>
      <c r="H67" s="2">
        <v>162</v>
      </c>
      <c r="I67" s="2">
        <v>189</v>
      </c>
      <c r="J67" s="2">
        <v>27</v>
      </c>
      <c r="K67" s="2">
        <v>4</v>
      </c>
      <c r="L67" s="2" t="s">
        <v>824</v>
      </c>
      <c r="M67" s="12" t="s">
        <v>825</v>
      </c>
      <c r="N67" s="14" t="s">
        <v>826</v>
      </c>
      <c r="O67" s="2" t="s">
        <v>1351</v>
      </c>
      <c r="P67" s="2" t="s">
        <v>1351</v>
      </c>
      <c r="Q67" s="2" t="s">
        <v>1371</v>
      </c>
      <c r="R67" s="2"/>
      <c r="S67" s="2"/>
      <c r="T67" s="2"/>
      <c r="U67" s="2"/>
      <c r="V67" s="2" t="s">
        <v>827</v>
      </c>
      <c r="W67" s="2" t="s">
        <v>828</v>
      </c>
      <c r="X67" t="s">
        <v>829</v>
      </c>
      <c r="Y67" s="2" t="s">
        <v>23</v>
      </c>
      <c r="Z67" s="2" t="s">
        <v>24</v>
      </c>
      <c r="AA67" s="2"/>
      <c r="AB67" s="2" t="s">
        <v>25</v>
      </c>
      <c r="AC67" s="2" t="s">
        <v>830</v>
      </c>
    </row>
    <row r="68" spans="1:29" ht="165" x14ac:dyDescent="0.25">
      <c r="A68" s="2" t="s">
        <v>848</v>
      </c>
      <c r="B68" s="2" t="s">
        <v>849</v>
      </c>
      <c r="C68" s="2">
        <v>2017</v>
      </c>
      <c r="D68" s="2" t="s">
        <v>560</v>
      </c>
      <c r="E68" s="2" t="s">
        <v>561</v>
      </c>
      <c r="F68" s="2"/>
      <c r="G68" s="2"/>
      <c r="H68" s="2">
        <v>652</v>
      </c>
      <c r="I68" s="2">
        <v>657</v>
      </c>
      <c r="J68" s="2">
        <v>5</v>
      </c>
      <c r="K68" s="2">
        <v>14</v>
      </c>
      <c r="L68" s="2" t="s">
        <v>850</v>
      </c>
      <c r="M68" s="12" t="s">
        <v>851</v>
      </c>
      <c r="N68" s="14" t="s">
        <v>1375</v>
      </c>
      <c r="O68" s="2" t="s">
        <v>1351</v>
      </c>
      <c r="P68" s="2" t="s">
        <v>1351</v>
      </c>
      <c r="Q68" s="2" t="s">
        <v>1371</v>
      </c>
      <c r="R68" s="2"/>
      <c r="S68" s="2"/>
      <c r="T68" s="2"/>
      <c r="U68" s="2"/>
      <c r="V68" s="2" t="s">
        <v>852</v>
      </c>
      <c r="W68" s="2" t="s">
        <v>853</v>
      </c>
      <c r="X68" t="s">
        <v>854</v>
      </c>
      <c r="Y68" s="2" t="s">
        <v>29</v>
      </c>
      <c r="Z68" s="2" t="s">
        <v>24</v>
      </c>
      <c r="AA68" s="2" t="s">
        <v>64</v>
      </c>
      <c r="AB68" s="2" t="s">
        <v>25</v>
      </c>
      <c r="AC68" s="2" t="s">
        <v>855</v>
      </c>
    </row>
    <row r="69" spans="1:29" ht="345" x14ac:dyDescent="0.25">
      <c r="A69" s="2" t="s">
        <v>867</v>
      </c>
      <c r="B69" s="2" t="s">
        <v>868</v>
      </c>
      <c r="C69" s="2">
        <v>2017</v>
      </c>
      <c r="D69" s="2" t="s">
        <v>45</v>
      </c>
      <c r="E69" s="2" t="s">
        <v>66</v>
      </c>
      <c r="F69" s="2"/>
      <c r="G69" s="2"/>
      <c r="H69" s="2">
        <v>153</v>
      </c>
      <c r="I69" s="2">
        <v>168</v>
      </c>
      <c r="J69" s="2">
        <v>15</v>
      </c>
      <c r="K69" s="2">
        <v>78</v>
      </c>
      <c r="L69" s="2" t="s">
        <v>869</v>
      </c>
      <c r="M69" s="2" t="s">
        <v>870</v>
      </c>
      <c r="N69" s="11" t="s">
        <v>871</v>
      </c>
      <c r="O69" s="2" t="s">
        <v>1350</v>
      </c>
      <c r="P69" s="2"/>
      <c r="Q69" s="2"/>
      <c r="R69" s="2"/>
      <c r="S69" s="2"/>
      <c r="T69" s="2" t="s">
        <v>1371</v>
      </c>
      <c r="U69" s="2"/>
      <c r="V69" s="2" t="s">
        <v>872</v>
      </c>
      <c r="W69" s="2" t="s">
        <v>873</v>
      </c>
      <c r="X69" t="s">
        <v>874</v>
      </c>
      <c r="Y69" s="2" t="s">
        <v>23</v>
      </c>
      <c r="Z69" s="2" t="s">
        <v>24</v>
      </c>
      <c r="AA69" s="2" t="s">
        <v>86</v>
      </c>
      <c r="AB69" s="2" t="s">
        <v>25</v>
      </c>
      <c r="AC69" s="2" t="s">
        <v>875</v>
      </c>
    </row>
    <row r="70" spans="1:29" ht="135" x14ac:dyDescent="0.25">
      <c r="A70" s="2" t="s">
        <v>892</v>
      </c>
      <c r="B70" s="2" t="s">
        <v>893</v>
      </c>
      <c r="C70" s="2">
        <v>2017</v>
      </c>
      <c r="D70" s="2" t="s">
        <v>856</v>
      </c>
      <c r="E70" s="2" t="s">
        <v>199</v>
      </c>
      <c r="F70" s="2"/>
      <c r="G70" s="2"/>
      <c r="H70" s="2">
        <v>1733</v>
      </c>
      <c r="I70" s="2">
        <v>1740</v>
      </c>
      <c r="J70" s="2">
        <v>7</v>
      </c>
      <c r="K70" s="2">
        <v>0</v>
      </c>
      <c r="L70" s="2" t="s">
        <v>894</v>
      </c>
      <c r="M70" s="12" t="s">
        <v>895</v>
      </c>
      <c r="N70" s="14" t="s">
        <v>896</v>
      </c>
      <c r="O70" s="2" t="s">
        <v>1351</v>
      </c>
      <c r="P70" s="2" t="s">
        <v>1350</v>
      </c>
      <c r="Q70" s="2"/>
      <c r="R70" s="2"/>
      <c r="S70" s="2"/>
      <c r="T70" s="2"/>
      <c r="U70" s="2"/>
      <c r="V70" s="2" t="s">
        <v>897</v>
      </c>
      <c r="W70" s="2" t="s">
        <v>898</v>
      </c>
      <c r="X70" t="s">
        <v>899</v>
      </c>
      <c r="Y70" s="2" t="s">
        <v>29</v>
      </c>
      <c r="Z70" s="2" t="s">
        <v>24</v>
      </c>
      <c r="AA70" s="2" t="s">
        <v>64</v>
      </c>
      <c r="AB70" s="2" t="s">
        <v>25</v>
      </c>
      <c r="AC70" s="2" t="s">
        <v>900</v>
      </c>
    </row>
    <row r="71" spans="1:29" ht="150" x14ac:dyDescent="0.25">
      <c r="A71" s="2" t="s">
        <v>1033</v>
      </c>
      <c r="B71" s="2" t="s">
        <v>1034</v>
      </c>
      <c r="C71" s="2">
        <v>2017</v>
      </c>
      <c r="D71" s="2" t="s">
        <v>70</v>
      </c>
      <c r="E71" s="2" t="s">
        <v>931</v>
      </c>
      <c r="F71" s="2" t="s">
        <v>22</v>
      </c>
      <c r="G71" s="2"/>
      <c r="H71" s="2">
        <v>93</v>
      </c>
      <c r="I71" s="2">
        <v>103</v>
      </c>
      <c r="J71" s="2">
        <v>10</v>
      </c>
      <c r="K71" s="2">
        <v>0</v>
      </c>
      <c r="L71" s="2" t="s">
        <v>1035</v>
      </c>
      <c r="M71" s="12" t="s">
        <v>1036</v>
      </c>
      <c r="N71" s="14" t="s">
        <v>1037</v>
      </c>
      <c r="O71" s="2" t="s">
        <v>1351</v>
      </c>
      <c r="P71" s="2" t="s">
        <v>1350</v>
      </c>
      <c r="Q71" s="2"/>
      <c r="R71" s="2"/>
      <c r="S71" s="2"/>
      <c r="T71" s="2"/>
      <c r="U71" s="2"/>
      <c r="V71" s="2"/>
      <c r="W71" s="2"/>
      <c r="X71" t="s">
        <v>1038</v>
      </c>
      <c r="Y71" s="2" t="s">
        <v>23</v>
      </c>
      <c r="Z71" s="2" t="s">
        <v>24</v>
      </c>
      <c r="AA71" s="2"/>
      <c r="AB71" s="2" t="s">
        <v>25</v>
      </c>
      <c r="AC71" s="2" t="s">
        <v>1039</v>
      </c>
    </row>
    <row r="72" spans="1:29" ht="210" x14ac:dyDescent="0.25">
      <c r="A72" s="2" t="s">
        <v>596</v>
      </c>
      <c r="B72" s="2" t="s">
        <v>597</v>
      </c>
      <c r="C72" s="2">
        <v>2016</v>
      </c>
      <c r="D72" s="2" t="s">
        <v>128</v>
      </c>
      <c r="E72" s="2" t="s">
        <v>598</v>
      </c>
      <c r="F72" s="2"/>
      <c r="G72" s="2"/>
      <c r="H72" s="2">
        <v>459</v>
      </c>
      <c r="I72" s="2">
        <v>484</v>
      </c>
      <c r="J72" s="2">
        <v>25</v>
      </c>
      <c r="K72" s="2">
        <v>6</v>
      </c>
      <c r="L72" s="2"/>
      <c r="M72" s="12" t="s">
        <v>599</v>
      </c>
      <c r="N72" s="14" t="s">
        <v>600</v>
      </c>
      <c r="O72" s="2" t="s">
        <v>1351</v>
      </c>
      <c r="P72" s="2" t="s">
        <v>1351</v>
      </c>
      <c r="Q72" s="2" t="s">
        <v>1371</v>
      </c>
      <c r="R72" s="2"/>
      <c r="S72" s="2"/>
      <c r="T72" s="2"/>
      <c r="U72" s="2"/>
      <c r="V72" s="2"/>
      <c r="W72" s="2" t="s">
        <v>601</v>
      </c>
      <c r="X72" t="s">
        <v>602</v>
      </c>
      <c r="Y72" s="2" t="s">
        <v>29</v>
      </c>
      <c r="Z72" s="2" t="s">
        <v>24</v>
      </c>
      <c r="AA72" s="2"/>
      <c r="AB72" s="2" t="s">
        <v>25</v>
      </c>
      <c r="AC72" s="2" t="s">
        <v>603</v>
      </c>
    </row>
    <row r="73" spans="1:29" ht="180" x14ac:dyDescent="0.25">
      <c r="A73" s="2" t="s">
        <v>643</v>
      </c>
      <c r="B73" s="2" t="s">
        <v>644</v>
      </c>
      <c r="C73" s="2">
        <v>2016</v>
      </c>
      <c r="D73" s="2" t="s">
        <v>128</v>
      </c>
      <c r="E73" s="2" t="s">
        <v>598</v>
      </c>
      <c r="F73" s="2"/>
      <c r="G73" s="2"/>
      <c r="H73" s="2">
        <v>246</v>
      </c>
      <c r="I73" s="2">
        <v>264</v>
      </c>
      <c r="J73" s="2">
        <v>18</v>
      </c>
      <c r="K73" s="2">
        <v>6</v>
      </c>
      <c r="L73" s="2"/>
      <c r="M73" s="2" t="s">
        <v>645</v>
      </c>
      <c r="N73" s="4" t="s">
        <v>646</v>
      </c>
      <c r="O73" s="2" t="s">
        <v>1350</v>
      </c>
      <c r="P73" s="2"/>
      <c r="Q73" s="2"/>
      <c r="R73" s="2"/>
      <c r="S73" s="2" t="s">
        <v>1415</v>
      </c>
      <c r="T73" s="2"/>
      <c r="V73" s="2"/>
      <c r="W73" s="2" t="s">
        <v>647</v>
      </c>
      <c r="X73" t="s">
        <v>648</v>
      </c>
      <c r="Y73" s="2" t="s">
        <v>29</v>
      </c>
      <c r="Z73" s="2" t="s">
        <v>24</v>
      </c>
      <c r="AA73" s="2"/>
      <c r="AB73" s="2" t="s">
        <v>25</v>
      </c>
      <c r="AC73" s="2" t="s">
        <v>649</v>
      </c>
    </row>
    <row r="74" spans="1:29" ht="285" x14ac:dyDescent="0.25">
      <c r="A74" s="2" t="s">
        <v>697</v>
      </c>
      <c r="B74" s="2" t="s">
        <v>698</v>
      </c>
      <c r="C74" s="2">
        <v>2016</v>
      </c>
      <c r="D74" s="2" t="s">
        <v>128</v>
      </c>
      <c r="E74" s="2" t="s">
        <v>598</v>
      </c>
      <c r="F74" s="2"/>
      <c r="G74" s="2"/>
      <c r="H74" s="2">
        <v>504</v>
      </c>
      <c r="I74" s="2">
        <v>514</v>
      </c>
      <c r="J74" s="2">
        <v>10</v>
      </c>
      <c r="K74" s="2">
        <v>12</v>
      </c>
      <c r="L74" s="2"/>
      <c r="M74" s="2" t="s">
        <v>699</v>
      </c>
      <c r="N74" s="4" t="s">
        <v>700</v>
      </c>
      <c r="O74" s="2" t="s">
        <v>1350</v>
      </c>
      <c r="P74" s="2"/>
      <c r="Q74" s="2"/>
      <c r="R74" s="2"/>
      <c r="S74" s="2" t="s">
        <v>1415</v>
      </c>
      <c r="T74" s="2"/>
      <c r="V74" s="2"/>
      <c r="W74" s="2" t="s">
        <v>701</v>
      </c>
      <c r="X74" t="s">
        <v>702</v>
      </c>
      <c r="Y74" s="2" t="s">
        <v>29</v>
      </c>
      <c r="Z74" s="2" t="s">
        <v>24</v>
      </c>
      <c r="AA74" s="2"/>
      <c r="AB74" s="2" t="s">
        <v>25</v>
      </c>
      <c r="AC74" s="2" t="s">
        <v>703</v>
      </c>
    </row>
    <row r="75" spans="1:29" ht="180" x14ac:dyDescent="0.25">
      <c r="A75" s="2" t="s">
        <v>760</v>
      </c>
      <c r="B75" s="2" t="s">
        <v>761</v>
      </c>
      <c r="C75" s="2">
        <v>2016</v>
      </c>
      <c r="D75" s="2" t="s">
        <v>128</v>
      </c>
      <c r="E75" s="2" t="s">
        <v>598</v>
      </c>
      <c r="F75" s="2"/>
      <c r="G75" s="2"/>
      <c r="H75" s="2">
        <v>485</v>
      </c>
      <c r="I75" s="2">
        <v>492</v>
      </c>
      <c r="J75" s="2">
        <v>7</v>
      </c>
      <c r="K75" s="2">
        <v>2</v>
      </c>
      <c r="L75" s="2"/>
      <c r="M75" s="12" t="s">
        <v>762</v>
      </c>
      <c r="N75" s="14" t="s">
        <v>763</v>
      </c>
      <c r="O75" s="2" t="s">
        <v>1351</v>
      </c>
      <c r="P75" s="2" t="s">
        <v>1351</v>
      </c>
      <c r="Q75" s="2"/>
      <c r="R75" s="2"/>
      <c r="S75" s="2" t="s">
        <v>1374</v>
      </c>
      <c r="T75" s="2"/>
      <c r="V75" s="2"/>
      <c r="W75" s="2" t="s">
        <v>764</v>
      </c>
      <c r="X75" t="s">
        <v>765</v>
      </c>
      <c r="Y75" s="2" t="s">
        <v>29</v>
      </c>
      <c r="Z75" s="2" t="s">
        <v>24</v>
      </c>
      <c r="AA75" s="2"/>
      <c r="AB75" s="2" t="s">
        <v>25</v>
      </c>
      <c r="AC75" s="2" t="s">
        <v>766</v>
      </c>
    </row>
    <row r="76" spans="1:29" ht="135" x14ac:dyDescent="0.25">
      <c r="A76" s="2" t="s">
        <v>949</v>
      </c>
      <c r="B76" s="2" t="s">
        <v>950</v>
      </c>
      <c r="C76" s="2">
        <v>2016</v>
      </c>
      <c r="D76" s="2" t="s">
        <v>951</v>
      </c>
      <c r="E76" s="2" t="s">
        <v>471</v>
      </c>
      <c r="F76" s="2"/>
      <c r="G76" s="2"/>
      <c r="H76" s="2">
        <v>453</v>
      </c>
      <c r="I76" s="2">
        <v>465</v>
      </c>
      <c r="J76" s="2">
        <v>12</v>
      </c>
      <c r="K76" s="2">
        <v>39</v>
      </c>
      <c r="L76" s="2" t="s">
        <v>952</v>
      </c>
      <c r="M76" s="12" t="s">
        <v>953</v>
      </c>
      <c r="N76" s="13" t="s">
        <v>954</v>
      </c>
      <c r="O76" s="2" t="s">
        <v>1351</v>
      </c>
      <c r="P76" s="2" t="s">
        <v>1351</v>
      </c>
      <c r="Q76" s="2" t="s">
        <v>1371</v>
      </c>
      <c r="R76" s="2"/>
      <c r="S76" s="2"/>
      <c r="T76" s="2"/>
      <c r="U76" s="2"/>
      <c r="V76" s="2" t="s">
        <v>955</v>
      </c>
      <c r="W76" s="2" t="s">
        <v>956</v>
      </c>
      <c r="X76" t="s">
        <v>957</v>
      </c>
      <c r="Y76" s="2" t="s">
        <v>23</v>
      </c>
      <c r="Z76" s="2" t="s">
        <v>24</v>
      </c>
      <c r="AA76" s="2" t="s">
        <v>41</v>
      </c>
      <c r="AB76" s="2" t="s">
        <v>25</v>
      </c>
      <c r="AC76" s="2" t="s">
        <v>958</v>
      </c>
    </row>
    <row r="77" spans="1:29" ht="165" x14ac:dyDescent="0.25">
      <c r="A77" s="2" t="s">
        <v>975</v>
      </c>
      <c r="B77" s="2" t="s">
        <v>976</v>
      </c>
      <c r="C77" s="2">
        <v>2016</v>
      </c>
      <c r="D77" s="2" t="s">
        <v>70</v>
      </c>
      <c r="E77" s="2" t="s">
        <v>111</v>
      </c>
      <c r="F77" s="2" t="s">
        <v>153</v>
      </c>
      <c r="G77" s="2"/>
      <c r="H77" s="2">
        <v>222</v>
      </c>
      <c r="I77" s="2">
        <v>230</v>
      </c>
      <c r="J77" s="2">
        <v>8</v>
      </c>
      <c r="K77" s="2">
        <v>1</v>
      </c>
      <c r="L77" s="2" t="s">
        <v>977</v>
      </c>
      <c r="M77" s="12" t="s">
        <v>978</v>
      </c>
      <c r="N77" s="14" t="s">
        <v>979</v>
      </c>
      <c r="O77" s="2" t="s">
        <v>1351</v>
      </c>
      <c r="P77" s="2" t="s">
        <v>1350</v>
      </c>
      <c r="Q77" s="2"/>
      <c r="R77" s="2"/>
      <c r="S77" s="2"/>
      <c r="T77" s="2"/>
      <c r="U77" s="2"/>
      <c r="V77" s="2" t="s">
        <v>980</v>
      </c>
      <c r="W77" s="2"/>
      <c r="X77" t="s">
        <v>981</v>
      </c>
      <c r="Y77" s="2" t="s">
        <v>23</v>
      </c>
      <c r="Z77" s="2" t="s">
        <v>24</v>
      </c>
      <c r="AA77" s="2"/>
      <c r="AB77" s="2" t="s">
        <v>25</v>
      </c>
      <c r="AC77" s="2" t="s">
        <v>982</v>
      </c>
    </row>
    <row r="78" spans="1:29" ht="180" x14ac:dyDescent="0.25">
      <c r="A78" s="2" t="s">
        <v>1010</v>
      </c>
      <c r="B78" s="2" t="s">
        <v>1011</v>
      </c>
      <c r="C78" s="2">
        <v>2016</v>
      </c>
      <c r="D78" s="2" t="s">
        <v>128</v>
      </c>
      <c r="E78" s="2" t="s">
        <v>598</v>
      </c>
      <c r="F78" s="2"/>
      <c r="G78" s="2"/>
      <c r="H78" s="2">
        <v>432</v>
      </c>
      <c r="I78" s="2">
        <v>438</v>
      </c>
      <c r="J78" s="2">
        <v>6</v>
      </c>
      <c r="K78" s="2">
        <v>0</v>
      </c>
      <c r="L78" s="2"/>
      <c r="M78" s="2" t="s">
        <v>1012</v>
      </c>
      <c r="N78" s="4" t="s">
        <v>1013</v>
      </c>
      <c r="O78" s="2" t="s">
        <v>1350</v>
      </c>
      <c r="P78" s="2"/>
      <c r="Q78" s="2"/>
      <c r="R78" s="2"/>
      <c r="S78" s="2"/>
      <c r="T78" s="2"/>
      <c r="U78" s="2"/>
      <c r="V78" s="2"/>
      <c r="W78" s="2" t="s">
        <v>1014</v>
      </c>
      <c r="X78" t="s">
        <v>1015</v>
      </c>
      <c r="Y78" s="2" t="s">
        <v>29</v>
      </c>
      <c r="Z78" s="2" t="s">
        <v>24</v>
      </c>
      <c r="AA78" s="2"/>
      <c r="AB78" s="2" t="s">
        <v>25</v>
      </c>
      <c r="AC78" s="2" t="s">
        <v>1016</v>
      </c>
    </row>
    <row r="79" spans="1:29" ht="165" x14ac:dyDescent="0.25">
      <c r="A79" s="2" t="s">
        <v>650</v>
      </c>
      <c r="B79" s="2" t="s">
        <v>651</v>
      </c>
      <c r="C79" s="2">
        <v>2015</v>
      </c>
      <c r="D79" s="2" t="s">
        <v>560</v>
      </c>
      <c r="E79" s="2" t="s">
        <v>652</v>
      </c>
      <c r="F79" s="2"/>
      <c r="G79" s="2"/>
      <c r="H79" s="2">
        <v>1419</v>
      </c>
      <c r="I79" s="2">
        <v>1424</v>
      </c>
      <c r="J79" s="2">
        <v>5</v>
      </c>
      <c r="K79" s="2">
        <v>9</v>
      </c>
      <c r="L79" s="2" t="s">
        <v>653</v>
      </c>
      <c r="M79" s="2" t="s">
        <v>654</v>
      </c>
      <c r="N79" s="4" t="s">
        <v>655</v>
      </c>
      <c r="O79" s="2" t="s">
        <v>1350</v>
      </c>
      <c r="P79" s="2"/>
      <c r="Q79" s="2"/>
      <c r="R79" s="2"/>
      <c r="S79" s="2"/>
      <c r="T79" s="2"/>
      <c r="U79" s="2"/>
      <c r="V79" s="2" t="s">
        <v>656</v>
      </c>
      <c r="W79" s="2" t="s">
        <v>657</v>
      </c>
      <c r="X79" t="s">
        <v>658</v>
      </c>
      <c r="Y79" s="2" t="s">
        <v>29</v>
      </c>
      <c r="Z79" s="2" t="s">
        <v>24</v>
      </c>
      <c r="AA79" s="2" t="s">
        <v>30</v>
      </c>
      <c r="AB79" s="2" t="s">
        <v>25</v>
      </c>
      <c r="AC79" s="2" t="s">
        <v>659</v>
      </c>
    </row>
    <row r="80" spans="1:29" ht="150" x14ac:dyDescent="0.25">
      <c r="A80" s="2" t="s">
        <v>831</v>
      </c>
      <c r="B80" s="2" t="s">
        <v>832</v>
      </c>
      <c r="C80" s="2">
        <v>2015</v>
      </c>
      <c r="D80" s="2" t="s">
        <v>833</v>
      </c>
      <c r="E80" s="2"/>
      <c r="F80" s="2"/>
      <c r="G80" s="2"/>
      <c r="H80" s="2">
        <v>40</v>
      </c>
      <c r="I80" s="2">
        <v>50</v>
      </c>
      <c r="J80" s="2">
        <v>10</v>
      </c>
      <c r="K80" s="2">
        <v>2</v>
      </c>
      <c r="L80" s="2" t="s">
        <v>834</v>
      </c>
      <c r="M80" s="12" t="s">
        <v>835</v>
      </c>
      <c r="N80" s="15" t="s">
        <v>836</v>
      </c>
      <c r="O80" s="2" t="s">
        <v>1351</v>
      </c>
      <c r="P80" s="2"/>
      <c r="Q80" s="2"/>
      <c r="R80" s="2"/>
      <c r="S80" s="2"/>
      <c r="T80" s="2"/>
      <c r="U80" s="2"/>
      <c r="V80" s="2"/>
      <c r="W80" s="2" t="s">
        <v>837</v>
      </c>
      <c r="Y80" s="2" t="s">
        <v>29</v>
      </c>
      <c r="Z80" s="2" t="s">
        <v>24</v>
      </c>
      <c r="AA80" s="2"/>
      <c r="AB80" s="2" t="s">
        <v>25</v>
      </c>
      <c r="AC80" s="2" t="s">
        <v>838</v>
      </c>
    </row>
    <row r="81" spans="1:29" ht="180" x14ac:dyDescent="0.25">
      <c r="A81" s="2" t="s">
        <v>876</v>
      </c>
      <c r="B81" s="2" t="s">
        <v>877</v>
      </c>
      <c r="C81" s="2">
        <v>2015</v>
      </c>
      <c r="D81" s="2" t="s">
        <v>70</v>
      </c>
      <c r="E81" s="2" t="s">
        <v>111</v>
      </c>
      <c r="F81" s="2" t="s">
        <v>83</v>
      </c>
      <c r="G81" s="2"/>
      <c r="H81" s="2">
        <v>71</v>
      </c>
      <c r="I81" s="2">
        <v>80</v>
      </c>
      <c r="J81" s="2">
        <v>9</v>
      </c>
      <c r="K81" s="2">
        <v>0</v>
      </c>
      <c r="L81" s="2" t="s">
        <v>878</v>
      </c>
      <c r="M81" s="2" t="s">
        <v>879</v>
      </c>
      <c r="N81" s="10" t="s">
        <v>880</v>
      </c>
      <c r="O81" s="10" t="s">
        <v>1350</v>
      </c>
      <c r="P81" s="10"/>
      <c r="Q81" s="10"/>
      <c r="R81" s="2"/>
      <c r="S81" s="2"/>
      <c r="T81" s="2"/>
      <c r="U81" s="2"/>
      <c r="V81" s="2" t="s">
        <v>881</v>
      </c>
      <c r="W81" s="2"/>
      <c r="X81" t="s">
        <v>882</v>
      </c>
      <c r="Y81" s="2" t="s">
        <v>23</v>
      </c>
      <c r="Z81" s="2" t="s">
        <v>24</v>
      </c>
      <c r="AA81" s="2"/>
      <c r="AB81" s="2" t="s">
        <v>25</v>
      </c>
      <c r="AC81" s="2" t="s">
        <v>883</v>
      </c>
    </row>
    <row r="82" spans="1:29" ht="180" x14ac:dyDescent="0.25">
      <c r="A82" s="22" t="s">
        <v>660</v>
      </c>
      <c r="B82" s="22" t="s">
        <v>661</v>
      </c>
      <c r="C82" s="22">
        <v>2015</v>
      </c>
      <c r="D82" s="22" t="s">
        <v>196</v>
      </c>
      <c r="E82" s="22" t="s">
        <v>662</v>
      </c>
      <c r="F82" s="22" t="s">
        <v>663</v>
      </c>
      <c r="G82" s="22"/>
      <c r="H82" s="22">
        <v>1053</v>
      </c>
      <c r="I82" s="22">
        <v>1062</v>
      </c>
      <c r="J82" s="22">
        <v>9</v>
      </c>
      <c r="K82" s="22">
        <v>0</v>
      </c>
      <c r="L82" s="22" t="s">
        <v>664</v>
      </c>
      <c r="M82" s="22" t="s">
        <v>665</v>
      </c>
      <c r="N82" s="4" t="s">
        <v>666</v>
      </c>
      <c r="O82" s="2" t="s">
        <v>1350</v>
      </c>
      <c r="P82" s="2"/>
      <c r="Q82" s="2"/>
      <c r="T82" t="s">
        <v>1371</v>
      </c>
      <c r="V82" t="s">
        <v>667</v>
      </c>
      <c r="W82" t="s">
        <v>668</v>
      </c>
      <c r="X82" t="s">
        <v>669</v>
      </c>
      <c r="Y82" t="s">
        <v>23</v>
      </c>
      <c r="Z82" t="s">
        <v>24</v>
      </c>
      <c r="AA82" t="s">
        <v>198</v>
      </c>
      <c r="AB82" t="s">
        <v>25</v>
      </c>
      <c r="AC82" t="s">
        <v>670</v>
      </c>
    </row>
    <row r="83" spans="1:29" ht="180" x14ac:dyDescent="0.25">
      <c r="A83" s="7" t="s">
        <v>919</v>
      </c>
      <c r="B83" s="7" t="s">
        <v>920</v>
      </c>
      <c r="C83" s="7">
        <v>2015</v>
      </c>
      <c r="D83" s="7" t="s">
        <v>388</v>
      </c>
      <c r="E83" s="7" t="s">
        <v>921</v>
      </c>
      <c r="F83" s="7"/>
      <c r="G83" s="7"/>
      <c r="H83" s="7">
        <v>223</v>
      </c>
      <c r="I83" s="7">
        <v>253</v>
      </c>
      <c r="J83" s="7">
        <v>30</v>
      </c>
      <c r="K83" s="7">
        <v>0</v>
      </c>
      <c r="L83" s="7" t="s">
        <v>922</v>
      </c>
      <c r="M83" s="7" t="s">
        <v>923</v>
      </c>
      <c r="N83" s="4" t="s">
        <v>924</v>
      </c>
      <c r="O83" s="2" t="s">
        <v>1350</v>
      </c>
      <c r="P83" s="2"/>
      <c r="Q83" s="2"/>
      <c r="R83" s="2"/>
      <c r="S83" s="2"/>
      <c r="T83" s="2" t="s">
        <v>1371</v>
      </c>
      <c r="U83" s="2"/>
      <c r="V83" s="2" t="s">
        <v>925</v>
      </c>
      <c r="W83" s="2" t="s">
        <v>926</v>
      </c>
      <c r="X83" t="s">
        <v>927</v>
      </c>
      <c r="Y83" s="2" t="s">
        <v>29</v>
      </c>
      <c r="Z83" s="2" t="s">
        <v>24</v>
      </c>
      <c r="AA83" s="2"/>
      <c r="AB83" s="2" t="s">
        <v>25</v>
      </c>
      <c r="AC83" s="2" t="s">
        <v>928</v>
      </c>
    </row>
    <row r="84" spans="1:29" ht="195" x14ac:dyDescent="0.25">
      <c r="A84" s="2" t="s">
        <v>959</v>
      </c>
      <c r="B84" s="2" t="s">
        <v>960</v>
      </c>
      <c r="C84" s="2">
        <v>2015</v>
      </c>
      <c r="D84" s="2" t="s">
        <v>324</v>
      </c>
      <c r="E84" s="2" t="s">
        <v>111</v>
      </c>
      <c r="F84" s="2" t="s">
        <v>230</v>
      </c>
      <c r="G84" s="2"/>
      <c r="H84" s="2">
        <v>517</v>
      </c>
      <c r="I84" s="2">
        <v>530</v>
      </c>
      <c r="J84" s="2">
        <v>13</v>
      </c>
      <c r="K84" s="2">
        <v>3</v>
      </c>
      <c r="L84" s="2" t="s">
        <v>961</v>
      </c>
      <c r="M84" s="12" t="s">
        <v>962</v>
      </c>
      <c r="N84" s="14" t="s">
        <v>963</v>
      </c>
      <c r="O84" s="2" t="s">
        <v>1351</v>
      </c>
      <c r="P84" s="2" t="s">
        <v>1350</v>
      </c>
      <c r="Q84" s="2"/>
      <c r="R84" s="2"/>
      <c r="S84" s="2"/>
      <c r="T84" s="2"/>
      <c r="U84" s="2"/>
      <c r="V84" s="2" t="s">
        <v>964</v>
      </c>
      <c r="W84" s="2" t="s">
        <v>965</v>
      </c>
      <c r="X84" t="s">
        <v>966</v>
      </c>
      <c r="Y84" s="2" t="s">
        <v>23</v>
      </c>
      <c r="Z84" s="2" t="s">
        <v>24</v>
      </c>
      <c r="AA84" s="2"/>
      <c r="AB84" s="2" t="s">
        <v>25</v>
      </c>
      <c r="AC84" s="2" t="s">
        <v>967</v>
      </c>
    </row>
    <row r="85" spans="1:29" ht="150" x14ac:dyDescent="0.25">
      <c r="A85" s="7" t="s">
        <v>983</v>
      </c>
      <c r="B85" s="7" t="s">
        <v>984</v>
      </c>
      <c r="C85" s="7">
        <v>2015</v>
      </c>
      <c r="D85" s="7" t="s">
        <v>175</v>
      </c>
      <c r="E85" s="7" t="s">
        <v>197</v>
      </c>
      <c r="F85" s="7"/>
      <c r="G85" s="7"/>
      <c r="H85" s="7">
        <v>185</v>
      </c>
      <c r="I85" s="7">
        <v>198</v>
      </c>
      <c r="J85" s="7">
        <v>13</v>
      </c>
      <c r="K85" s="7">
        <v>7</v>
      </c>
      <c r="L85" s="7" t="s">
        <v>985</v>
      </c>
      <c r="M85" s="24" t="s">
        <v>986</v>
      </c>
      <c r="N85" s="25" t="s">
        <v>987</v>
      </c>
      <c r="O85" s="2" t="s">
        <v>1351</v>
      </c>
      <c r="P85" s="2" t="s">
        <v>1371</v>
      </c>
      <c r="Q85" s="2"/>
      <c r="R85" s="2"/>
      <c r="S85" s="2"/>
      <c r="T85" s="2" t="s">
        <v>1371</v>
      </c>
      <c r="U85" s="2"/>
      <c r="V85" s="2" t="s">
        <v>988</v>
      </c>
      <c r="W85" s="2" t="s">
        <v>989</v>
      </c>
      <c r="X85" t="s">
        <v>990</v>
      </c>
      <c r="Y85" s="2" t="s">
        <v>23</v>
      </c>
      <c r="Z85" s="2" t="s">
        <v>24</v>
      </c>
      <c r="AA85" s="2"/>
      <c r="AB85" s="2" t="s">
        <v>25</v>
      </c>
      <c r="AC85" s="2" t="s">
        <v>991</v>
      </c>
    </row>
    <row r="86" spans="1:29" ht="135" x14ac:dyDescent="0.25">
      <c r="A86" s="2" t="s">
        <v>1056</v>
      </c>
      <c r="B86" s="2" t="s">
        <v>1057</v>
      </c>
      <c r="C86" s="2">
        <v>2015</v>
      </c>
      <c r="D86" s="2" t="s">
        <v>560</v>
      </c>
      <c r="E86" s="2" t="s">
        <v>652</v>
      </c>
      <c r="F86" s="2"/>
      <c r="G86" s="2"/>
      <c r="H86" s="2">
        <v>2748</v>
      </c>
      <c r="I86" s="2">
        <v>2753</v>
      </c>
      <c r="J86" s="2">
        <v>5</v>
      </c>
      <c r="K86" s="2">
        <v>3</v>
      </c>
      <c r="L86" s="2" t="s">
        <v>1058</v>
      </c>
      <c r="M86" s="12" t="s">
        <v>1059</v>
      </c>
      <c r="N86" s="14" t="s">
        <v>1060</v>
      </c>
      <c r="O86" s="2" t="s">
        <v>1351</v>
      </c>
      <c r="P86" s="2" t="s">
        <v>1351</v>
      </c>
      <c r="Q86" s="2" t="s">
        <v>1371</v>
      </c>
      <c r="R86" s="2"/>
      <c r="S86" s="2"/>
      <c r="T86" s="2"/>
      <c r="U86" s="2"/>
      <c r="V86" s="2" t="s">
        <v>1061</v>
      </c>
      <c r="W86" s="2" t="s">
        <v>1062</v>
      </c>
      <c r="X86" t="s">
        <v>1063</v>
      </c>
      <c r="Y86" s="2" t="s">
        <v>29</v>
      </c>
      <c r="Z86" s="2" t="s">
        <v>24</v>
      </c>
      <c r="AA86" s="2" t="s">
        <v>64</v>
      </c>
      <c r="AB86" s="2" t="s">
        <v>25</v>
      </c>
      <c r="AC86" s="2" t="s">
        <v>1064</v>
      </c>
    </row>
    <row r="87" spans="1:29" ht="225" x14ac:dyDescent="0.25">
      <c r="A87" s="2" t="s">
        <v>1065</v>
      </c>
      <c r="B87" s="2" t="s">
        <v>1066</v>
      </c>
      <c r="C87" s="2">
        <v>2015</v>
      </c>
      <c r="D87" s="2" t="s">
        <v>1067</v>
      </c>
      <c r="E87" s="2" t="s">
        <v>443</v>
      </c>
      <c r="F87" s="2"/>
      <c r="G87" s="2"/>
      <c r="H87" s="2">
        <v>102</v>
      </c>
      <c r="I87" s="2">
        <v>116</v>
      </c>
      <c r="J87" s="2">
        <v>14</v>
      </c>
      <c r="K87" s="2">
        <v>75</v>
      </c>
      <c r="L87" s="2" t="s">
        <v>1068</v>
      </c>
      <c r="M87" s="2" t="s">
        <v>1069</v>
      </c>
      <c r="N87" s="7" t="s">
        <v>1070</v>
      </c>
      <c r="O87" s="2" t="s">
        <v>1350</v>
      </c>
      <c r="P87" s="2"/>
      <c r="Q87" s="2"/>
      <c r="R87" s="2"/>
      <c r="S87" s="2"/>
      <c r="T87" s="2" t="s">
        <v>1371</v>
      </c>
      <c r="U87" s="2"/>
      <c r="V87" s="2" t="s">
        <v>1071</v>
      </c>
      <c r="W87" s="2" t="s">
        <v>1072</v>
      </c>
      <c r="X87" t="s">
        <v>1073</v>
      </c>
      <c r="Y87" s="2" t="s">
        <v>23</v>
      </c>
      <c r="Z87" s="2" t="s">
        <v>24</v>
      </c>
      <c r="AA87" s="2" t="s">
        <v>41</v>
      </c>
      <c r="AB87" s="2" t="s">
        <v>25</v>
      </c>
      <c r="AC87" s="2" t="s">
        <v>1074</v>
      </c>
    </row>
    <row r="88" spans="1:29" ht="165" x14ac:dyDescent="0.25">
      <c r="A88" s="2" t="s">
        <v>1075</v>
      </c>
      <c r="B88" s="2" t="s">
        <v>1076</v>
      </c>
      <c r="C88" s="2">
        <v>2015</v>
      </c>
      <c r="D88" s="2" t="s">
        <v>941</v>
      </c>
      <c r="E88" s="2" t="s">
        <v>251</v>
      </c>
      <c r="F88" s="2" t="s">
        <v>80</v>
      </c>
      <c r="G88" s="2"/>
      <c r="H88" s="2">
        <v>191</v>
      </c>
      <c r="I88" s="2">
        <v>204</v>
      </c>
      <c r="J88" s="2">
        <v>13</v>
      </c>
      <c r="K88" s="2">
        <v>8</v>
      </c>
      <c r="L88" s="2" t="s">
        <v>1077</v>
      </c>
      <c r="M88" s="12" t="s">
        <v>1078</v>
      </c>
      <c r="N88" s="14" t="s">
        <v>1079</v>
      </c>
      <c r="O88" s="2" t="s">
        <v>1351</v>
      </c>
      <c r="P88" s="2" t="s">
        <v>1350</v>
      </c>
      <c r="Q88" s="2"/>
      <c r="R88" s="2"/>
      <c r="S88" s="2"/>
      <c r="T88" s="2"/>
      <c r="U88" s="2"/>
      <c r="V88" s="2" t="s">
        <v>1080</v>
      </c>
      <c r="W88" s="2" t="s">
        <v>1081</v>
      </c>
      <c r="X88" t="s">
        <v>1082</v>
      </c>
      <c r="Y88" s="2" t="s">
        <v>23</v>
      </c>
      <c r="Z88" s="2" t="s">
        <v>24</v>
      </c>
      <c r="AA88" s="2" t="s">
        <v>41</v>
      </c>
      <c r="AB88" s="2" t="s">
        <v>25</v>
      </c>
      <c r="AC88" s="2" t="s">
        <v>1083</v>
      </c>
    </row>
    <row r="89" spans="1:29" ht="195" x14ac:dyDescent="0.25">
      <c r="A89" s="2" t="s">
        <v>1084</v>
      </c>
      <c r="B89" s="2" t="s">
        <v>1085</v>
      </c>
      <c r="C89" s="2">
        <v>2015</v>
      </c>
      <c r="D89" s="2" t="s">
        <v>45</v>
      </c>
      <c r="E89" s="2" t="s">
        <v>1086</v>
      </c>
      <c r="F89" s="2"/>
      <c r="G89" s="2"/>
      <c r="H89" s="2">
        <v>457</v>
      </c>
      <c r="I89" s="2">
        <v>466</v>
      </c>
      <c r="J89" s="2">
        <v>9</v>
      </c>
      <c r="K89" s="2">
        <v>19</v>
      </c>
      <c r="L89" s="2" t="s">
        <v>1087</v>
      </c>
      <c r="M89" s="12" t="s">
        <v>1088</v>
      </c>
      <c r="N89" s="14" t="s">
        <v>1089</v>
      </c>
      <c r="O89" s="2" t="s">
        <v>1351</v>
      </c>
      <c r="P89" s="2" t="s">
        <v>1351</v>
      </c>
      <c r="Q89" s="2" t="s">
        <v>1371</v>
      </c>
      <c r="R89" s="2"/>
      <c r="S89" s="2"/>
      <c r="T89" s="2"/>
      <c r="U89" s="2"/>
      <c r="V89" s="2" t="s">
        <v>1090</v>
      </c>
      <c r="W89" s="2" t="s">
        <v>1091</v>
      </c>
      <c r="X89" t="s">
        <v>1092</v>
      </c>
      <c r="Y89" s="2" t="s">
        <v>23</v>
      </c>
      <c r="Z89" s="2" t="s">
        <v>24</v>
      </c>
      <c r="AA89" s="2"/>
      <c r="AB89" s="2" t="s">
        <v>25</v>
      </c>
      <c r="AC89" s="2" t="s">
        <v>1093</v>
      </c>
    </row>
    <row r="90" spans="1:29" ht="195" x14ac:dyDescent="0.25">
      <c r="A90" s="2" t="s">
        <v>681</v>
      </c>
      <c r="B90" s="2" t="s">
        <v>682</v>
      </c>
      <c r="C90" s="2">
        <v>2014</v>
      </c>
      <c r="D90" s="2" t="s">
        <v>175</v>
      </c>
      <c r="E90" s="2" t="s">
        <v>683</v>
      </c>
      <c r="F90" s="2"/>
      <c r="G90" s="2"/>
      <c r="H90" s="2">
        <v>92</v>
      </c>
      <c r="I90" s="2">
        <v>104</v>
      </c>
      <c r="J90" s="2">
        <v>12</v>
      </c>
      <c r="K90" s="2">
        <v>52</v>
      </c>
      <c r="L90" s="2" t="s">
        <v>684</v>
      </c>
      <c r="M90" s="2" t="s">
        <v>685</v>
      </c>
      <c r="N90" s="3" t="s">
        <v>686</v>
      </c>
      <c r="O90" s="2" t="s">
        <v>1350</v>
      </c>
      <c r="P90" s="2"/>
      <c r="Q90" s="2"/>
      <c r="R90" s="2"/>
      <c r="S90" s="2"/>
      <c r="T90" s="2"/>
      <c r="U90" s="2"/>
      <c r="V90" s="2" t="s">
        <v>687</v>
      </c>
      <c r="W90" s="2"/>
      <c r="X90" t="s">
        <v>688</v>
      </c>
      <c r="Y90" s="2" t="s">
        <v>23</v>
      </c>
      <c r="Z90" s="2" t="s">
        <v>24</v>
      </c>
      <c r="AA90" s="2" t="s">
        <v>41</v>
      </c>
      <c r="AB90" s="2" t="s">
        <v>25</v>
      </c>
      <c r="AC90" s="2" t="s">
        <v>689</v>
      </c>
    </row>
    <row r="91" spans="1:29" ht="195" x14ac:dyDescent="0.25">
      <c r="A91" s="2" t="s">
        <v>750</v>
      </c>
      <c r="B91" s="2" t="s">
        <v>751</v>
      </c>
      <c r="C91" s="2">
        <v>2014</v>
      </c>
      <c r="D91" s="2" t="s">
        <v>45</v>
      </c>
      <c r="E91" s="2" t="s">
        <v>752</v>
      </c>
      <c r="F91" s="2"/>
      <c r="G91" s="2"/>
      <c r="H91" s="2">
        <v>340</v>
      </c>
      <c r="I91" s="2">
        <v>353</v>
      </c>
      <c r="J91" s="2">
        <v>13</v>
      </c>
      <c r="K91" s="2">
        <v>77</v>
      </c>
      <c r="L91" s="2" t="s">
        <v>753</v>
      </c>
      <c r="M91" s="2" t="s">
        <v>754</v>
      </c>
      <c r="N91" s="4" t="s">
        <v>755</v>
      </c>
      <c r="O91" s="2" t="s">
        <v>1350</v>
      </c>
      <c r="P91" s="2"/>
      <c r="Q91" s="2"/>
      <c r="R91" s="2"/>
      <c r="S91" s="2"/>
      <c r="T91" s="2"/>
      <c r="U91" s="2"/>
      <c r="V91" s="2" t="s">
        <v>756</v>
      </c>
      <c r="W91" s="2" t="s">
        <v>757</v>
      </c>
      <c r="X91" t="s">
        <v>758</v>
      </c>
      <c r="Y91" s="2" t="s">
        <v>23</v>
      </c>
      <c r="Z91" s="2" t="s">
        <v>24</v>
      </c>
      <c r="AA91" s="2" t="s">
        <v>41</v>
      </c>
      <c r="AB91" s="2" t="s">
        <v>25</v>
      </c>
      <c r="AC91" s="2" t="s">
        <v>759</v>
      </c>
    </row>
    <row r="92" spans="1:29" ht="180" x14ac:dyDescent="0.25">
      <c r="A92" s="2" t="s">
        <v>813</v>
      </c>
      <c r="B92" s="2" t="s">
        <v>814</v>
      </c>
      <c r="C92" s="2">
        <v>2014</v>
      </c>
      <c r="D92" s="2" t="s">
        <v>45</v>
      </c>
      <c r="E92" s="2" t="s">
        <v>683</v>
      </c>
      <c r="F92" s="2"/>
      <c r="G92" s="2"/>
      <c r="H92" s="2">
        <v>88</v>
      </c>
      <c r="I92" s="2">
        <v>96</v>
      </c>
      <c r="J92" s="2">
        <v>8</v>
      </c>
      <c r="K92" s="2">
        <v>11</v>
      </c>
      <c r="L92" s="2" t="s">
        <v>815</v>
      </c>
      <c r="M92" s="2" t="s">
        <v>816</v>
      </c>
      <c r="N92" s="4" t="s">
        <v>817</v>
      </c>
      <c r="O92" s="2" t="s">
        <v>1350</v>
      </c>
      <c r="P92" s="2"/>
      <c r="Q92" s="2"/>
      <c r="R92" s="2"/>
      <c r="S92" s="2"/>
      <c r="T92" s="2"/>
      <c r="U92" s="2"/>
      <c r="V92" s="2" t="s">
        <v>818</v>
      </c>
      <c r="W92" s="2" t="s">
        <v>819</v>
      </c>
      <c r="X92" t="s">
        <v>820</v>
      </c>
      <c r="Y92" s="2" t="s">
        <v>23</v>
      </c>
      <c r="Z92" s="2" t="s">
        <v>24</v>
      </c>
      <c r="AA92" s="2"/>
      <c r="AB92" s="2" t="s">
        <v>25</v>
      </c>
      <c r="AC92" s="2" t="s">
        <v>821</v>
      </c>
    </row>
    <row r="93" spans="1:29" ht="180" x14ac:dyDescent="0.25">
      <c r="A93" s="2" t="s">
        <v>839</v>
      </c>
      <c r="B93" s="2" t="s">
        <v>840</v>
      </c>
      <c r="C93" s="2">
        <v>2014</v>
      </c>
      <c r="D93" s="2" t="s">
        <v>841</v>
      </c>
      <c r="E93" s="2"/>
      <c r="F93" s="2"/>
      <c r="G93" s="2"/>
      <c r="H93" s="2"/>
      <c r="I93" s="2"/>
      <c r="J93" s="2"/>
      <c r="K93" s="2">
        <v>1</v>
      </c>
      <c r="L93" s="2"/>
      <c r="M93" s="12" t="s">
        <v>842</v>
      </c>
      <c r="N93" s="15" t="s">
        <v>843</v>
      </c>
      <c r="O93" s="2" t="s">
        <v>1351</v>
      </c>
      <c r="P93" s="2"/>
      <c r="Q93" s="2"/>
      <c r="R93" s="2"/>
      <c r="S93" s="2"/>
      <c r="T93" s="2"/>
      <c r="U93" s="2"/>
      <c r="V93" s="2" t="s">
        <v>844</v>
      </c>
      <c r="W93" s="2" t="s">
        <v>845</v>
      </c>
      <c r="X93" t="s">
        <v>846</v>
      </c>
      <c r="Y93" s="2" t="s">
        <v>29</v>
      </c>
      <c r="Z93" s="2" t="s">
        <v>24</v>
      </c>
      <c r="AA93" s="2"/>
      <c r="AB93" s="2" t="s">
        <v>25</v>
      </c>
      <c r="AC93" s="2" t="s">
        <v>847</v>
      </c>
    </row>
    <row r="94" spans="1:29" ht="285" x14ac:dyDescent="0.25">
      <c r="A94" s="2" t="s">
        <v>615</v>
      </c>
      <c r="B94" s="2" t="s">
        <v>616</v>
      </c>
      <c r="C94" s="2">
        <v>2013</v>
      </c>
      <c r="D94" s="2" t="s">
        <v>617</v>
      </c>
      <c r="E94" s="2"/>
      <c r="F94" s="2"/>
      <c r="G94" s="2"/>
      <c r="H94" s="2"/>
      <c r="I94" s="2"/>
      <c r="J94" s="2"/>
      <c r="K94" s="2">
        <v>10</v>
      </c>
      <c r="L94" s="2"/>
      <c r="M94" s="2" t="s">
        <v>618</v>
      </c>
      <c r="N94" s="4" t="s">
        <v>619</v>
      </c>
      <c r="O94" s="2" t="s">
        <v>1350</v>
      </c>
      <c r="P94" s="2"/>
      <c r="Q94" s="2"/>
      <c r="R94" s="2"/>
      <c r="S94" s="2"/>
      <c r="T94" s="2"/>
      <c r="U94" s="2"/>
      <c r="V94" s="2"/>
      <c r="W94" s="2" t="s">
        <v>620</v>
      </c>
      <c r="X94" t="s">
        <v>621</v>
      </c>
      <c r="Y94" s="2" t="s">
        <v>29</v>
      </c>
      <c r="Z94" s="2" t="s">
        <v>24</v>
      </c>
      <c r="AA94" s="2"/>
      <c r="AB94" s="2" t="s">
        <v>25</v>
      </c>
      <c r="AC94" s="2" t="s">
        <v>622</v>
      </c>
    </row>
    <row r="95" spans="1:29" ht="300" x14ac:dyDescent="0.25">
      <c r="A95" s="2" t="s">
        <v>690</v>
      </c>
      <c r="B95" s="2" t="s">
        <v>691</v>
      </c>
      <c r="C95" s="2">
        <v>2013</v>
      </c>
      <c r="D95" s="2" t="s">
        <v>617</v>
      </c>
      <c r="E95" s="2"/>
      <c r="F95" s="2"/>
      <c r="G95" s="2"/>
      <c r="H95" s="2"/>
      <c r="I95" s="2"/>
      <c r="J95" s="2"/>
      <c r="K95" s="2">
        <v>3</v>
      </c>
      <c r="L95" s="2"/>
      <c r="M95" s="2" t="s">
        <v>692</v>
      </c>
      <c r="N95" s="4" t="s">
        <v>693</v>
      </c>
      <c r="O95" s="2" t="s">
        <v>1350</v>
      </c>
      <c r="P95" s="2"/>
      <c r="Q95" s="2"/>
      <c r="R95" s="2"/>
      <c r="S95" s="2"/>
      <c r="T95" s="2"/>
      <c r="U95" s="2"/>
      <c r="V95" s="2"/>
      <c r="W95" s="2" t="s">
        <v>694</v>
      </c>
      <c r="X95" t="s">
        <v>695</v>
      </c>
      <c r="Y95" s="2" t="s">
        <v>29</v>
      </c>
      <c r="Z95" s="2" t="s">
        <v>24</v>
      </c>
      <c r="AA95" s="2"/>
      <c r="AB95" s="2" t="s">
        <v>25</v>
      </c>
      <c r="AC95" s="2" t="s">
        <v>696</v>
      </c>
    </row>
    <row r="96" spans="1:29" ht="135" x14ac:dyDescent="0.25">
      <c r="A96" s="2" t="s">
        <v>704</v>
      </c>
      <c r="B96" s="2" t="s">
        <v>705</v>
      </c>
      <c r="C96" s="2">
        <v>2013</v>
      </c>
      <c r="D96" s="2" t="s">
        <v>324</v>
      </c>
      <c r="E96" s="2" t="s">
        <v>333</v>
      </c>
      <c r="F96" s="2" t="s">
        <v>153</v>
      </c>
      <c r="G96" s="2"/>
      <c r="H96" s="2">
        <v>375</v>
      </c>
      <c r="I96" s="2">
        <v>397</v>
      </c>
      <c r="J96" s="2">
        <v>22</v>
      </c>
      <c r="K96" s="2">
        <v>11</v>
      </c>
      <c r="L96" s="2" t="s">
        <v>706</v>
      </c>
      <c r="M96" s="12" t="s">
        <v>707</v>
      </c>
      <c r="N96" s="14" t="s">
        <v>708</v>
      </c>
      <c r="O96" s="2" t="s">
        <v>1351</v>
      </c>
      <c r="P96" s="2" t="s">
        <v>1350</v>
      </c>
      <c r="Q96" s="2"/>
      <c r="R96" s="2"/>
      <c r="S96" s="2"/>
      <c r="T96" s="2"/>
      <c r="U96" s="2"/>
      <c r="V96" s="2" t="s">
        <v>709</v>
      </c>
      <c r="W96" s="2" t="s">
        <v>710</v>
      </c>
      <c r="X96" t="s">
        <v>711</v>
      </c>
      <c r="Y96" s="2" t="s">
        <v>23</v>
      </c>
      <c r="Z96" s="2" t="s">
        <v>24</v>
      </c>
      <c r="AA96" s="2" t="s">
        <v>41</v>
      </c>
      <c r="AB96" s="2" t="s">
        <v>25</v>
      </c>
      <c r="AC96" s="2" t="s">
        <v>712</v>
      </c>
    </row>
    <row r="97" spans="1:29" ht="150" x14ac:dyDescent="0.25">
      <c r="A97" s="2" t="s">
        <v>777</v>
      </c>
      <c r="B97" s="2" t="s">
        <v>778</v>
      </c>
      <c r="C97" s="2">
        <v>2013</v>
      </c>
      <c r="D97" s="2" t="s">
        <v>492</v>
      </c>
      <c r="E97" s="2" t="s">
        <v>22</v>
      </c>
      <c r="F97" s="2" t="s">
        <v>28</v>
      </c>
      <c r="G97" s="2"/>
      <c r="H97" s="2">
        <v>42</v>
      </c>
      <c r="I97" s="2">
        <v>49</v>
      </c>
      <c r="J97" s="2">
        <v>7</v>
      </c>
      <c r="K97" s="2">
        <v>14</v>
      </c>
      <c r="L97" s="2" t="s">
        <v>779</v>
      </c>
      <c r="M97" s="12" t="s">
        <v>780</v>
      </c>
      <c r="N97" s="14" t="s">
        <v>781</v>
      </c>
      <c r="O97" s="2" t="s">
        <v>1351</v>
      </c>
      <c r="P97" s="2" t="s">
        <v>1350</v>
      </c>
      <c r="Q97" s="2"/>
      <c r="R97" s="2"/>
      <c r="S97" s="2"/>
      <c r="T97" s="2"/>
      <c r="U97" s="2"/>
      <c r="V97" s="2" t="s">
        <v>782</v>
      </c>
      <c r="W97" s="2"/>
      <c r="X97" t="s">
        <v>783</v>
      </c>
      <c r="Y97" s="2" t="s">
        <v>23</v>
      </c>
      <c r="Z97" s="2" t="s">
        <v>24</v>
      </c>
      <c r="AA97" s="2" t="s">
        <v>30</v>
      </c>
      <c r="AB97" s="2" t="s">
        <v>25</v>
      </c>
      <c r="AC97" s="2" t="s">
        <v>784</v>
      </c>
    </row>
    <row r="98" spans="1:29" ht="150" x14ac:dyDescent="0.25">
      <c r="A98" s="2" t="s">
        <v>857</v>
      </c>
      <c r="B98" s="2" t="s">
        <v>858</v>
      </c>
      <c r="C98" s="2">
        <v>2013</v>
      </c>
      <c r="D98" s="2" t="s">
        <v>196</v>
      </c>
      <c r="E98" s="2" t="s">
        <v>652</v>
      </c>
      <c r="F98" s="2" t="s">
        <v>859</v>
      </c>
      <c r="G98" s="2"/>
      <c r="H98" s="2">
        <v>461</v>
      </c>
      <c r="I98" s="2">
        <v>470</v>
      </c>
      <c r="J98" s="2">
        <v>9</v>
      </c>
      <c r="K98" s="2">
        <v>2</v>
      </c>
      <c r="L98" s="2" t="s">
        <v>860</v>
      </c>
      <c r="M98" s="2" t="s">
        <v>861</v>
      </c>
      <c r="N98" s="4" t="s">
        <v>862</v>
      </c>
      <c r="O98" s="2" t="s">
        <v>1350</v>
      </c>
      <c r="P98" s="2"/>
      <c r="Q98" s="2"/>
      <c r="R98" s="2"/>
      <c r="S98" s="2" t="s">
        <v>1368</v>
      </c>
      <c r="T98" s="2"/>
      <c r="V98" s="2" t="s">
        <v>863</v>
      </c>
      <c r="W98" s="2" t="s">
        <v>864</v>
      </c>
      <c r="X98" t="s">
        <v>865</v>
      </c>
      <c r="Y98" s="2" t="s">
        <v>23</v>
      </c>
      <c r="Z98" s="2" t="s">
        <v>24</v>
      </c>
      <c r="AA98" s="2" t="s">
        <v>198</v>
      </c>
      <c r="AB98" s="2" t="s">
        <v>25</v>
      </c>
      <c r="AC98" s="2" t="s">
        <v>866</v>
      </c>
    </row>
    <row r="99" spans="1:29" ht="180" x14ac:dyDescent="0.25">
      <c r="A99" s="2" t="s">
        <v>968</v>
      </c>
      <c r="B99" s="2" t="s">
        <v>969</v>
      </c>
      <c r="C99" s="2">
        <v>2013</v>
      </c>
      <c r="D99" s="2" t="s">
        <v>617</v>
      </c>
      <c r="E99" s="2"/>
      <c r="F99" s="2"/>
      <c r="G99" s="2"/>
      <c r="H99" s="2"/>
      <c r="I99" s="2"/>
      <c r="J99" s="2"/>
      <c r="K99" s="2">
        <v>11</v>
      </c>
      <c r="L99" s="2"/>
      <c r="M99" s="2" t="s">
        <v>970</v>
      </c>
      <c r="N99" s="4" t="s">
        <v>971</v>
      </c>
      <c r="O99" s="2" t="s">
        <v>1350</v>
      </c>
      <c r="P99" s="2"/>
      <c r="Q99" s="2"/>
      <c r="R99" s="2"/>
      <c r="S99" s="2"/>
      <c r="T99" s="2"/>
      <c r="U99" s="2"/>
      <c r="V99" s="2"/>
      <c r="W99" s="2" t="s">
        <v>972</v>
      </c>
      <c r="X99" t="s">
        <v>973</v>
      </c>
      <c r="Y99" s="2" t="s">
        <v>29</v>
      </c>
      <c r="Z99" s="2" t="s">
        <v>24</v>
      </c>
      <c r="AA99" s="2"/>
      <c r="AB99" s="2" t="s">
        <v>25</v>
      </c>
      <c r="AC99" s="2" t="s">
        <v>974</v>
      </c>
    </row>
    <row r="100" spans="1:29" ht="165" x14ac:dyDescent="0.25">
      <c r="A100" s="2" t="s">
        <v>1000</v>
      </c>
      <c r="B100" s="2" t="s">
        <v>1001</v>
      </c>
      <c r="C100" s="2">
        <v>2013</v>
      </c>
      <c r="D100" s="2" t="s">
        <v>175</v>
      </c>
      <c r="E100" s="2" t="s">
        <v>1002</v>
      </c>
      <c r="F100" s="2"/>
      <c r="G100" s="2"/>
      <c r="H100" s="2">
        <v>146</v>
      </c>
      <c r="I100" s="2">
        <v>158</v>
      </c>
      <c r="J100" s="2">
        <v>12</v>
      </c>
      <c r="K100" s="2">
        <v>24</v>
      </c>
      <c r="L100" s="2" t="s">
        <v>1003</v>
      </c>
      <c r="M100" s="12" t="s">
        <v>1004</v>
      </c>
      <c r="N100" s="14" t="s">
        <v>1005</v>
      </c>
      <c r="O100" s="2" t="s">
        <v>1351</v>
      </c>
      <c r="P100" s="2" t="s">
        <v>1350</v>
      </c>
      <c r="Q100" s="2"/>
      <c r="R100" s="2"/>
      <c r="S100" s="2"/>
      <c r="T100" s="2"/>
      <c r="U100" s="2"/>
      <c r="V100" s="2" t="s">
        <v>1006</v>
      </c>
      <c r="W100" s="2" t="s">
        <v>1007</v>
      </c>
      <c r="X100" t="s">
        <v>1008</v>
      </c>
      <c r="Y100" s="2" t="s">
        <v>23</v>
      </c>
      <c r="Z100" s="2" t="s">
        <v>24</v>
      </c>
      <c r="AA100" s="2"/>
      <c r="AB100" s="2" t="s">
        <v>25</v>
      </c>
      <c r="AC100" s="2" t="s">
        <v>1009</v>
      </c>
    </row>
    <row r="101" spans="1:29" ht="165" x14ac:dyDescent="0.25">
      <c r="A101" s="2" t="s">
        <v>578</v>
      </c>
      <c r="B101" s="2" t="s">
        <v>579</v>
      </c>
      <c r="C101" s="2">
        <v>2012</v>
      </c>
      <c r="D101" s="2" t="s">
        <v>324</v>
      </c>
      <c r="E101" s="2" t="s">
        <v>580</v>
      </c>
      <c r="F101" s="2" t="s">
        <v>80</v>
      </c>
      <c r="G101" s="2"/>
      <c r="H101" s="2">
        <v>267</v>
      </c>
      <c r="I101" s="2">
        <v>302</v>
      </c>
      <c r="J101" s="2">
        <v>35</v>
      </c>
      <c r="K101" s="2">
        <v>159</v>
      </c>
      <c r="L101" s="2" t="s">
        <v>581</v>
      </c>
      <c r="M101" s="12" t="s">
        <v>582</v>
      </c>
      <c r="N101" s="14" t="s">
        <v>583</v>
      </c>
      <c r="O101" s="2" t="s">
        <v>1351</v>
      </c>
      <c r="P101" s="2" t="s">
        <v>1350</v>
      </c>
      <c r="Q101" s="2"/>
      <c r="R101" s="2"/>
      <c r="S101" s="2"/>
      <c r="T101" s="2"/>
      <c r="U101" s="2"/>
      <c r="V101" s="2" t="s">
        <v>584</v>
      </c>
      <c r="W101" s="2" t="s">
        <v>585</v>
      </c>
      <c r="X101" t="s">
        <v>586</v>
      </c>
      <c r="Y101" s="2" t="s">
        <v>429</v>
      </c>
      <c r="Z101" s="2" t="s">
        <v>24</v>
      </c>
      <c r="AA101" s="2"/>
      <c r="AB101" s="2" t="s">
        <v>25</v>
      </c>
      <c r="AC101" s="2" t="s">
        <v>587</v>
      </c>
    </row>
    <row r="102" spans="1:29" ht="180" x14ac:dyDescent="0.25">
      <c r="A102" s="2" t="s">
        <v>606</v>
      </c>
      <c r="B102" s="2" t="s">
        <v>607</v>
      </c>
      <c r="C102" s="2">
        <v>2012</v>
      </c>
      <c r="D102" s="2" t="s">
        <v>608</v>
      </c>
      <c r="E102" s="2" t="s">
        <v>398</v>
      </c>
      <c r="F102" s="2" t="s">
        <v>80</v>
      </c>
      <c r="G102" s="2"/>
      <c r="H102" s="2">
        <v>281</v>
      </c>
      <c r="I102" s="2">
        <v>296</v>
      </c>
      <c r="J102" s="2">
        <v>15</v>
      </c>
      <c r="K102" s="2">
        <v>5</v>
      </c>
      <c r="L102" s="2" t="s">
        <v>609</v>
      </c>
      <c r="M102" s="12" t="s">
        <v>610</v>
      </c>
      <c r="N102" s="14" t="s">
        <v>1369</v>
      </c>
      <c r="O102" s="2" t="s">
        <v>1351</v>
      </c>
      <c r="P102" s="2" t="s">
        <v>1350</v>
      </c>
      <c r="Q102" s="2"/>
      <c r="R102" s="2"/>
      <c r="S102" s="2"/>
      <c r="T102" s="2"/>
      <c r="U102" s="2"/>
      <c r="V102" s="2" t="s">
        <v>611</v>
      </c>
      <c r="W102" s="2" t="s">
        <v>612</v>
      </c>
      <c r="X102" t="s">
        <v>613</v>
      </c>
      <c r="Y102" s="2" t="s">
        <v>23</v>
      </c>
      <c r="Z102" s="2" t="s">
        <v>24</v>
      </c>
      <c r="AA102" s="2" t="s">
        <v>41</v>
      </c>
      <c r="AB102" s="2" t="s">
        <v>25</v>
      </c>
      <c r="AC102" s="2" t="s">
        <v>614</v>
      </c>
    </row>
    <row r="103" spans="1:29" ht="345" x14ac:dyDescent="0.25">
      <c r="A103" s="7" t="s">
        <v>604</v>
      </c>
      <c r="B103" s="7" t="s">
        <v>722</v>
      </c>
      <c r="C103" s="7">
        <v>2012</v>
      </c>
      <c r="D103" s="7" t="s">
        <v>45</v>
      </c>
      <c r="E103" s="7" t="s">
        <v>723</v>
      </c>
      <c r="F103" s="7"/>
      <c r="G103" s="7"/>
      <c r="H103" s="7">
        <v>114</v>
      </c>
      <c r="I103" s="7">
        <v>124</v>
      </c>
      <c r="J103" s="7">
        <v>10</v>
      </c>
      <c r="K103" s="7">
        <v>4</v>
      </c>
      <c r="L103" s="7" t="s">
        <v>724</v>
      </c>
      <c r="M103" s="24" t="s">
        <v>725</v>
      </c>
      <c r="N103" s="7" t="s">
        <v>726</v>
      </c>
      <c r="O103" s="2"/>
      <c r="P103" s="2"/>
      <c r="Q103" s="2"/>
      <c r="R103" s="2"/>
      <c r="S103" s="2"/>
      <c r="T103" s="2" t="s">
        <v>1371</v>
      </c>
      <c r="U103" s="2"/>
      <c r="V103" s="2" t="s">
        <v>727</v>
      </c>
      <c r="W103" s="2" t="s">
        <v>728</v>
      </c>
      <c r="X103" t="s">
        <v>729</v>
      </c>
      <c r="Y103" s="2" t="s">
        <v>23</v>
      </c>
      <c r="Z103" s="2" t="s">
        <v>24</v>
      </c>
      <c r="AA103" s="2"/>
      <c r="AB103" s="2" t="s">
        <v>25</v>
      </c>
      <c r="AC103" s="2" t="s">
        <v>730</v>
      </c>
    </row>
    <row r="104" spans="1:29" ht="300" x14ac:dyDescent="0.25">
      <c r="A104" s="2" t="s">
        <v>785</v>
      </c>
      <c r="B104" s="2" t="s">
        <v>786</v>
      </c>
      <c r="C104" s="2">
        <v>2012</v>
      </c>
      <c r="D104" s="2" t="s">
        <v>45</v>
      </c>
      <c r="E104" s="2" t="s">
        <v>58</v>
      </c>
      <c r="F104" s="2"/>
      <c r="G104" s="2"/>
      <c r="H104" s="2">
        <v>208</v>
      </c>
      <c r="I104" s="2">
        <v>218</v>
      </c>
      <c r="J104" s="2">
        <v>10</v>
      </c>
      <c r="K104" s="2">
        <v>33</v>
      </c>
      <c r="L104" s="2" t="s">
        <v>787</v>
      </c>
      <c r="M104" s="12" t="s">
        <v>788</v>
      </c>
      <c r="N104" s="14" t="s">
        <v>789</v>
      </c>
      <c r="O104" s="2" t="s">
        <v>1351</v>
      </c>
      <c r="P104" s="2" t="s">
        <v>1351</v>
      </c>
      <c r="Q104" s="2" t="s">
        <v>1371</v>
      </c>
      <c r="R104" s="2"/>
      <c r="S104" s="2"/>
      <c r="T104" s="2"/>
      <c r="U104" s="2"/>
      <c r="V104" s="2" t="s">
        <v>790</v>
      </c>
      <c r="W104" s="2" t="s">
        <v>791</v>
      </c>
      <c r="X104" t="s">
        <v>792</v>
      </c>
      <c r="Y104" s="2" t="s">
        <v>23</v>
      </c>
      <c r="Z104" s="2" t="s">
        <v>24</v>
      </c>
      <c r="AA104" s="2" t="s">
        <v>41</v>
      </c>
      <c r="AB104" s="2" t="s">
        <v>25</v>
      </c>
      <c r="AC104" s="2" t="s">
        <v>793</v>
      </c>
    </row>
    <row r="105" spans="1:29" ht="180" x14ac:dyDescent="0.25">
      <c r="A105" s="2" t="s">
        <v>909</v>
      </c>
      <c r="B105" s="2" t="s">
        <v>910</v>
      </c>
      <c r="C105" s="2">
        <v>2012</v>
      </c>
      <c r="D105" s="2" t="s">
        <v>26</v>
      </c>
      <c r="E105" s="2" t="s">
        <v>911</v>
      </c>
      <c r="F105" s="2" t="s">
        <v>28</v>
      </c>
      <c r="G105" s="2" t="s">
        <v>912</v>
      </c>
      <c r="H105" s="2"/>
      <c r="I105" s="2"/>
      <c r="J105" s="2"/>
      <c r="K105" s="2">
        <v>2</v>
      </c>
      <c r="L105" s="2" t="s">
        <v>913</v>
      </c>
      <c r="M105" s="12" t="s">
        <v>914</v>
      </c>
      <c r="N105" s="4" t="s">
        <v>915</v>
      </c>
      <c r="O105" s="2"/>
      <c r="P105" s="2"/>
      <c r="Q105" s="2"/>
      <c r="R105" s="2"/>
      <c r="S105" s="2"/>
      <c r="T105" s="2"/>
      <c r="U105" s="2"/>
      <c r="V105" s="2"/>
      <c r="W105" s="2" t="s">
        <v>916</v>
      </c>
      <c r="X105" t="s">
        <v>917</v>
      </c>
      <c r="Y105" s="2" t="s">
        <v>29</v>
      </c>
      <c r="Z105" s="2" t="s">
        <v>24</v>
      </c>
      <c r="AA105" s="2" t="s">
        <v>64</v>
      </c>
      <c r="AB105" s="2" t="s">
        <v>25</v>
      </c>
      <c r="AC105" s="2" t="s">
        <v>918</v>
      </c>
    </row>
    <row r="106" spans="1:29" ht="240" x14ac:dyDescent="0.25">
      <c r="A106" s="2" t="s">
        <v>939</v>
      </c>
      <c r="B106" s="2" t="s">
        <v>940</v>
      </c>
      <c r="C106" s="2">
        <v>2012</v>
      </c>
      <c r="D106" s="2" t="s">
        <v>941</v>
      </c>
      <c r="E106" s="2" t="s">
        <v>72</v>
      </c>
      <c r="F106" s="2" t="s">
        <v>22</v>
      </c>
      <c r="G106" s="2"/>
      <c r="H106" s="2">
        <v>75</v>
      </c>
      <c r="I106" s="2">
        <v>91</v>
      </c>
      <c r="J106" s="2">
        <v>16</v>
      </c>
      <c r="K106" s="2">
        <v>32</v>
      </c>
      <c r="L106" s="2" t="s">
        <v>942</v>
      </c>
      <c r="M106" s="12" t="s">
        <v>943</v>
      </c>
      <c r="N106" s="4" t="s">
        <v>944</v>
      </c>
      <c r="O106" s="2"/>
      <c r="P106" s="2"/>
      <c r="Q106" s="2"/>
      <c r="R106" s="2"/>
      <c r="S106" s="2"/>
      <c r="T106" s="2"/>
      <c r="U106" s="2"/>
      <c r="V106" s="2" t="s">
        <v>945</v>
      </c>
      <c r="W106" s="2" t="s">
        <v>946</v>
      </c>
      <c r="X106" t="s">
        <v>947</v>
      </c>
      <c r="Y106" s="2" t="s">
        <v>23</v>
      </c>
      <c r="Z106" s="2" t="s">
        <v>24</v>
      </c>
      <c r="AA106" s="2" t="s">
        <v>41</v>
      </c>
      <c r="AB106" s="2" t="s">
        <v>25</v>
      </c>
      <c r="AC106" s="2" t="s">
        <v>948</v>
      </c>
    </row>
    <row r="107" spans="1:29" ht="285" x14ac:dyDescent="0.25">
      <c r="A107" s="2" t="s">
        <v>569</v>
      </c>
      <c r="B107" s="2" t="s">
        <v>570</v>
      </c>
      <c r="C107" s="2">
        <v>2011</v>
      </c>
      <c r="D107" s="2" t="s">
        <v>571</v>
      </c>
      <c r="E107" s="2" t="s">
        <v>28</v>
      </c>
      <c r="F107" s="2"/>
      <c r="G107" s="2"/>
      <c r="H107" s="2">
        <v>177</v>
      </c>
      <c r="I107" s="2">
        <v>184</v>
      </c>
      <c r="J107" s="2">
        <v>7</v>
      </c>
      <c r="K107" s="2">
        <v>0</v>
      </c>
      <c r="L107" s="2"/>
      <c r="M107" s="12" t="s">
        <v>572</v>
      </c>
      <c r="N107" s="4" t="s">
        <v>573</v>
      </c>
      <c r="O107" s="2"/>
      <c r="P107" s="2"/>
      <c r="Q107" s="2"/>
      <c r="R107" s="2"/>
      <c r="S107" s="2"/>
      <c r="T107" s="2"/>
      <c r="U107" s="2"/>
      <c r="V107" s="2" t="s">
        <v>574</v>
      </c>
      <c r="W107" s="2" t="s">
        <v>575</v>
      </c>
      <c r="X107" t="s">
        <v>576</v>
      </c>
      <c r="Y107" s="2" t="s">
        <v>29</v>
      </c>
      <c r="Z107" s="2" t="s">
        <v>24</v>
      </c>
      <c r="AA107" s="2"/>
      <c r="AB107" s="2" t="s">
        <v>25</v>
      </c>
      <c r="AC107" s="2" t="s">
        <v>577</v>
      </c>
    </row>
    <row r="108" spans="1:29" ht="210" x14ac:dyDescent="0.25">
      <c r="A108" s="2" t="s">
        <v>732</v>
      </c>
      <c r="B108" s="2" t="s">
        <v>733</v>
      </c>
      <c r="C108" s="2">
        <v>2011</v>
      </c>
      <c r="D108" s="2" t="s">
        <v>324</v>
      </c>
      <c r="E108" s="2" t="s">
        <v>580</v>
      </c>
      <c r="F108" s="2" t="s">
        <v>28</v>
      </c>
      <c r="G108" s="2"/>
      <c r="H108" s="2">
        <v>83</v>
      </c>
      <c r="I108" s="2">
        <v>96</v>
      </c>
      <c r="J108" s="2">
        <v>13</v>
      </c>
      <c r="K108" s="2">
        <v>12</v>
      </c>
      <c r="L108" s="2" t="s">
        <v>734</v>
      </c>
      <c r="M108" s="2" t="s">
        <v>735</v>
      </c>
      <c r="N108" s="11" t="s">
        <v>736</v>
      </c>
      <c r="O108" s="2"/>
      <c r="P108" s="2"/>
      <c r="Q108" s="2"/>
      <c r="R108" s="2"/>
      <c r="S108" s="2"/>
      <c r="T108" s="2" t="s">
        <v>1371</v>
      </c>
      <c r="U108" s="2"/>
      <c r="V108" s="2" t="s">
        <v>737</v>
      </c>
      <c r="W108" s="2" t="s">
        <v>738</v>
      </c>
      <c r="X108" t="s">
        <v>739</v>
      </c>
      <c r="Y108" s="2" t="s">
        <v>23</v>
      </c>
      <c r="Z108" s="2" t="s">
        <v>24</v>
      </c>
      <c r="AA108" s="2"/>
      <c r="AB108" s="2" t="s">
        <v>25</v>
      </c>
      <c r="AC108" s="2" t="s">
        <v>740</v>
      </c>
    </row>
    <row r="109" spans="1:29" ht="195" x14ac:dyDescent="0.25">
      <c r="A109" s="2" t="s">
        <v>632</v>
      </c>
      <c r="B109" s="2" t="s">
        <v>633</v>
      </c>
      <c r="C109" s="2">
        <v>2010</v>
      </c>
      <c r="D109" s="2" t="s">
        <v>605</v>
      </c>
      <c r="E109" s="2"/>
      <c r="F109" s="2"/>
      <c r="G109" s="2"/>
      <c r="H109" s="2"/>
      <c r="I109" s="2"/>
      <c r="J109" s="2"/>
      <c r="K109" s="2">
        <v>0</v>
      </c>
      <c r="L109" s="2"/>
      <c r="M109" s="12" t="s">
        <v>634</v>
      </c>
      <c r="N109" s="14" t="s">
        <v>635</v>
      </c>
      <c r="O109" s="2" t="s">
        <v>1351</v>
      </c>
      <c r="P109" s="2" t="s">
        <v>1371</v>
      </c>
      <c r="Q109" s="2"/>
      <c r="R109" s="2"/>
      <c r="S109" s="2"/>
      <c r="T109" s="2"/>
      <c r="U109" s="2"/>
      <c r="V109" s="2"/>
      <c r="W109" s="2" t="s">
        <v>636</v>
      </c>
      <c r="X109" t="s">
        <v>637</v>
      </c>
      <c r="Y109" s="2" t="s">
        <v>29</v>
      </c>
      <c r="Z109" s="2" t="s">
        <v>24</v>
      </c>
      <c r="AA109" s="2"/>
      <c r="AB109" s="2" t="s">
        <v>25</v>
      </c>
      <c r="AC109" s="2" t="s">
        <v>638</v>
      </c>
    </row>
    <row r="110" spans="1:29" ht="165" x14ac:dyDescent="0.25">
      <c r="A110" s="2" t="s">
        <v>767</v>
      </c>
      <c r="B110" s="2" t="s">
        <v>768</v>
      </c>
      <c r="C110" s="2">
        <v>2010</v>
      </c>
      <c r="D110" s="2" t="s">
        <v>769</v>
      </c>
      <c r="E110" s="2" t="s">
        <v>321</v>
      </c>
      <c r="F110" s="2" t="s">
        <v>279</v>
      </c>
      <c r="G110" s="2"/>
      <c r="H110" s="2">
        <v>191</v>
      </c>
      <c r="I110" s="2">
        <v>195</v>
      </c>
      <c r="J110" s="2">
        <v>4</v>
      </c>
      <c r="K110" s="2">
        <v>0</v>
      </c>
      <c r="L110" s="2" t="s">
        <v>770</v>
      </c>
      <c r="M110" s="2" t="s">
        <v>771</v>
      </c>
      <c r="N110" s="4" t="s">
        <v>772</v>
      </c>
      <c r="O110" s="2"/>
      <c r="P110" s="2"/>
      <c r="Q110" s="2"/>
      <c r="R110" s="2"/>
      <c r="S110" s="2"/>
      <c r="T110" s="2"/>
      <c r="U110" s="2"/>
      <c r="V110" s="2" t="s">
        <v>773</v>
      </c>
      <c r="W110" s="2" t="s">
        <v>774</v>
      </c>
      <c r="X110" t="s">
        <v>775</v>
      </c>
      <c r="Y110" s="2" t="s">
        <v>23</v>
      </c>
      <c r="Z110" s="2" t="s">
        <v>24</v>
      </c>
      <c r="AA110" s="2" t="s">
        <v>198</v>
      </c>
      <c r="AB110" s="2" t="s">
        <v>25</v>
      </c>
      <c r="AC110" s="2" t="s">
        <v>776</v>
      </c>
    </row>
    <row r="111" spans="1:29" ht="165" x14ac:dyDescent="0.25">
      <c r="A111" s="2" t="s">
        <v>777</v>
      </c>
      <c r="B111" s="2" t="s">
        <v>804</v>
      </c>
      <c r="C111" s="2">
        <v>2010</v>
      </c>
      <c r="D111" s="2" t="s">
        <v>324</v>
      </c>
      <c r="E111" s="2" t="s">
        <v>805</v>
      </c>
      <c r="F111" s="2" t="s">
        <v>80</v>
      </c>
      <c r="G111" s="2"/>
      <c r="H111" s="2">
        <v>249</v>
      </c>
      <c r="I111" s="2">
        <v>269</v>
      </c>
      <c r="J111" s="2">
        <v>20</v>
      </c>
      <c r="K111" s="2">
        <v>27</v>
      </c>
      <c r="L111" s="2" t="s">
        <v>806</v>
      </c>
      <c r="M111" s="12" t="s">
        <v>807</v>
      </c>
      <c r="N111" s="14" t="s">
        <v>808</v>
      </c>
      <c r="O111" s="2" t="s">
        <v>1351</v>
      </c>
      <c r="P111" s="2" t="s">
        <v>1350</v>
      </c>
      <c r="Q111" s="2"/>
      <c r="R111" s="2"/>
      <c r="S111" s="2"/>
      <c r="T111" s="2"/>
      <c r="U111" s="2"/>
      <c r="V111" s="2" t="s">
        <v>809</v>
      </c>
      <c r="W111" s="2" t="s">
        <v>810</v>
      </c>
      <c r="X111" t="s">
        <v>811</v>
      </c>
      <c r="Y111" s="2" t="s">
        <v>23</v>
      </c>
      <c r="Z111" s="2" t="s">
        <v>24</v>
      </c>
      <c r="AA111" s="2"/>
      <c r="AB111" s="2" t="s">
        <v>25</v>
      </c>
      <c r="AC111" s="2" t="s">
        <v>812</v>
      </c>
    </row>
    <row r="112" spans="1:29" ht="165" x14ac:dyDescent="0.25">
      <c r="A112" s="2" t="s">
        <v>1017</v>
      </c>
      <c r="B112" s="2" t="s">
        <v>1018</v>
      </c>
      <c r="C112" s="2">
        <v>2010</v>
      </c>
      <c r="D112" s="2" t="s">
        <v>605</v>
      </c>
      <c r="E112" s="2"/>
      <c r="F112" s="2"/>
      <c r="G112" s="2"/>
      <c r="H112" s="2"/>
      <c r="I112" s="2"/>
      <c r="J112" s="2"/>
      <c r="K112" s="2">
        <v>0</v>
      </c>
      <c r="L112" s="2"/>
      <c r="M112" s="2" t="s">
        <v>1019</v>
      </c>
      <c r="N112" s="7" t="s">
        <v>1020</v>
      </c>
      <c r="O112" s="2"/>
      <c r="P112" s="2"/>
      <c r="Q112" s="2"/>
      <c r="R112" s="2"/>
      <c r="S112" s="2"/>
      <c r="T112" s="2" t="s">
        <v>1371</v>
      </c>
      <c r="U112" s="2"/>
      <c r="V112" s="2"/>
      <c r="W112" s="2" t="s">
        <v>1021</v>
      </c>
      <c r="X112" t="s">
        <v>1022</v>
      </c>
      <c r="Y112" s="2" t="s">
        <v>29</v>
      </c>
      <c r="Z112" s="2" t="s">
        <v>24</v>
      </c>
      <c r="AA112" s="2"/>
      <c r="AB112" s="2" t="s">
        <v>25</v>
      </c>
      <c r="AC112" s="2" t="s">
        <v>1023</v>
      </c>
    </row>
    <row r="113" spans="1:29" ht="315" x14ac:dyDescent="0.25">
      <c r="A113" s="2" t="s">
        <v>1024</v>
      </c>
      <c r="B113" s="2" t="s">
        <v>1025</v>
      </c>
      <c r="C113" s="2">
        <v>2010</v>
      </c>
      <c r="D113" s="2" t="s">
        <v>324</v>
      </c>
      <c r="E113" s="2" t="s">
        <v>805</v>
      </c>
      <c r="F113" s="2" t="s">
        <v>80</v>
      </c>
      <c r="G113" s="2"/>
      <c r="H113" s="2">
        <v>225</v>
      </c>
      <c r="I113" s="2">
        <v>247</v>
      </c>
      <c r="J113" s="2">
        <v>22</v>
      </c>
      <c r="K113" s="2">
        <v>32</v>
      </c>
      <c r="L113" s="2" t="s">
        <v>1026</v>
      </c>
      <c r="M113" s="12" t="s">
        <v>1027</v>
      </c>
      <c r="N113" s="14" t="s">
        <v>1028</v>
      </c>
      <c r="O113" s="2" t="s">
        <v>1351</v>
      </c>
      <c r="P113" s="2" t="s">
        <v>1350</v>
      </c>
      <c r="Q113" s="2"/>
      <c r="R113" s="2"/>
      <c r="S113" s="2"/>
      <c r="T113" s="2"/>
      <c r="U113" s="2"/>
      <c r="V113" s="2" t="s">
        <v>1029</v>
      </c>
      <c r="W113" s="2" t="s">
        <v>1030</v>
      </c>
      <c r="X113" t="s">
        <v>1031</v>
      </c>
      <c r="Y113" s="2" t="s">
        <v>23</v>
      </c>
      <c r="Z113" s="2" t="s">
        <v>24</v>
      </c>
      <c r="AA113" s="2"/>
      <c r="AB113" s="2" t="s">
        <v>25</v>
      </c>
      <c r="AC113" s="2" t="s">
        <v>1032</v>
      </c>
    </row>
    <row r="114" spans="1:29" ht="240" x14ac:dyDescent="0.25">
      <c r="A114" s="2" t="s">
        <v>639</v>
      </c>
      <c r="B114" s="2" t="s">
        <v>640</v>
      </c>
      <c r="C114" s="2">
        <v>2010</v>
      </c>
      <c r="D114" s="2" t="s">
        <v>388</v>
      </c>
      <c r="E114" s="2" t="s">
        <v>1040</v>
      </c>
      <c r="F114" s="2"/>
      <c r="G114" s="2"/>
      <c r="H114" s="2">
        <v>48</v>
      </c>
      <c r="I114" s="2">
        <v>67</v>
      </c>
      <c r="J114" s="2">
        <v>19</v>
      </c>
      <c r="K114" s="2">
        <v>0</v>
      </c>
      <c r="L114" s="2" t="s">
        <v>1041</v>
      </c>
      <c r="M114" s="12" t="s">
        <v>1042</v>
      </c>
      <c r="N114" s="14" t="s">
        <v>641</v>
      </c>
      <c r="O114" s="2" t="s">
        <v>1351</v>
      </c>
      <c r="P114" s="2" t="s">
        <v>1351</v>
      </c>
      <c r="Q114" s="2" t="s">
        <v>1371</v>
      </c>
      <c r="R114" s="2"/>
      <c r="S114" s="2"/>
      <c r="T114" s="2"/>
      <c r="U114" s="2"/>
      <c r="V114" s="2" t="s">
        <v>642</v>
      </c>
      <c r="W114" s="2" t="s">
        <v>1043</v>
      </c>
      <c r="X114" t="s">
        <v>1044</v>
      </c>
      <c r="Y114" s="2" t="s">
        <v>29</v>
      </c>
      <c r="Z114" s="2" t="s">
        <v>24</v>
      </c>
      <c r="AA114" s="2"/>
      <c r="AB114" s="2" t="s">
        <v>25</v>
      </c>
      <c r="AC114" s="2" t="s">
        <v>1045</v>
      </c>
    </row>
    <row r="115" spans="1:29" ht="150" x14ac:dyDescent="0.25">
      <c r="A115" s="2" t="s">
        <v>671</v>
      </c>
      <c r="B115" s="2" t="s">
        <v>672</v>
      </c>
      <c r="C115" s="2">
        <v>2009</v>
      </c>
      <c r="D115" s="2" t="s">
        <v>673</v>
      </c>
      <c r="E115" s="2" t="s">
        <v>165</v>
      </c>
      <c r="F115" s="2" t="s">
        <v>22</v>
      </c>
      <c r="G115" s="2"/>
      <c r="H115" s="2">
        <v>117</v>
      </c>
      <c r="I115" s="2">
        <v>128</v>
      </c>
      <c r="J115" s="2">
        <v>11</v>
      </c>
      <c r="K115" s="2">
        <v>19</v>
      </c>
      <c r="L115" s="2" t="s">
        <v>674</v>
      </c>
      <c r="M115" s="12" t="s">
        <v>675</v>
      </c>
      <c r="N115" s="4" t="s">
        <v>676</v>
      </c>
      <c r="O115" s="2"/>
      <c r="P115" s="2"/>
      <c r="Q115" s="2"/>
      <c r="R115" s="2"/>
      <c r="S115" s="2"/>
      <c r="T115" s="2"/>
      <c r="U115" s="2"/>
      <c r="V115" s="2" t="s">
        <v>677</v>
      </c>
      <c r="W115" s="2" t="s">
        <v>678</v>
      </c>
      <c r="X115" t="s">
        <v>679</v>
      </c>
      <c r="Y115" s="2" t="s">
        <v>23</v>
      </c>
      <c r="Z115" s="2" t="s">
        <v>24</v>
      </c>
      <c r="AA115" s="2"/>
      <c r="AB115" s="2" t="s">
        <v>25</v>
      </c>
      <c r="AC115" s="2" t="s">
        <v>680</v>
      </c>
    </row>
    <row r="116" spans="1:29" ht="240" x14ac:dyDescent="0.25">
      <c r="A116" s="2" t="s">
        <v>795</v>
      </c>
      <c r="B116" s="2" t="s">
        <v>796</v>
      </c>
      <c r="C116" s="2">
        <v>2009</v>
      </c>
      <c r="D116" s="2" t="s">
        <v>45</v>
      </c>
      <c r="E116" s="2" t="s">
        <v>482</v>
      </c>
      <c r="F116" s="2" t="s">
        <v>72</v>
      </c>
      <c r="G116" s="2"/>
      <c r="H116" s="2">
        <v>1065</v>
      </c>
      <c r="I116" s="2">
        <v>1073</v>
      </c>
      <c r="J116" s="2">
        <v>8</v>
      </c>
      <c r="K116" s="2">
        <v>65</v>
      </c>
      <c r="L116" s="2" t="s">
        <v>797</v>
      </c>
      <c r="M116" s="12" t="s">
        <v>798</v>
      </c>
      <c r="N116" s="4" t="s">
        <v>799</v>
      </c>
      <c r="O116" s="2"/>
      <c r="P116" s="2"/>
      <c r="Q116" s="2"/>
      <c r="R116" s="2"/>
      <c r="S116" s="2"/>
      <c r="T116" s="2"/>
      <c r="U116" s="2"/>
      <c r="V116" s="2" t="s">
        <v>800</v>
      </c>
      <c r="W116" s="2" t="s">
        <v>801</v>
      </c>
      <c r="X116" t="s">
        <v>802</v>
      </c>
      <c r="Y116" s="2" t="s">
        <v>23</v>
      </c>
      <c r="Z116" s="2" t="s">
        <v>24</v>
      </c>
      <c r="AA116" s="2"/>
      <c r="AB116" s="2" t="s">
        <v>25</v>
      </c>
      <c r="AC116" s="2" t="s">
        <v>803</v>
      </c>
    </row>
    <row r="117" spans="1:29" ht="165" x14ac:dyDescent="0.25">
      <c r="A117" s="2" t="s">
        <v>884</v>
      </c>
      <c r="B117" s="2" t="s">
        <v>885</v>
      </c>
      <c r="C117" s="2">
        <v>2009</v>
      </c>
      <c r="D117" s="2" t="s">
        <v>794</v>
      </c>
      <c r="E117" s="2"/>
      <c r="F117" s="2"/>
      <c r="G117" s="2"/>
      <c r="H117" s="2"/>
      <c r="I117" s="2"/>
      <c r="J117" s="2"/>
      <c r="K117" s="2">
        <v>0</v>
      </c>
      <c r="L117" s="2"/>
      <c r="M117" s="12" t="s">
        <v>886</v>
      </c>
      <c r="N117" s="15" t="s">
        <v>887</v>
      </c>
      <c r="O117" s="2" t="s">
        <v>1351</v>
      </c>
      <c r="P117" s="2"/>
      <c r="Q117" s="2"/>
      <c r="R117" s="2"/>
      <c r="S117" s="2"/>
      <c r="T117" s="2"/>
      <c r="U117" s="2"/>
      <c r="V117" s="2" t="s">
        <v>888</v>
      </c>
      <c r="W117" s="2" t="s">
        <v>889</v>
      </c>
      <c r="X117" t="s">
        <v>890</v>
      </c>
      <c r="Y117" s="2" t="s">
        <v>29</v>
      </c>
      <c r="Z117" s="2" t="s">
        <v>24</v>
      </c>
      <c r="AA117" s="2"/>
      <c r="AB117" s="2" t="s">
        <v>25</v>
      </c>
      <c r="AC117" s="2" t="s">
        <v>891</v>
      </c>
    </row>
    <row r="118" spans="1:29" ht="180" x14ac:dyDescent="0.25">
      <c r="A118" s="2" t="s">
        <v>901</v>
      </c>
      <c r="B118" s="2" t="s">
        <v>902</v>
      </c>
      <c r="C118" s="2">
        <v>2009</v>
      </c>
      <c r="D118" s="2" t="s">
        <v>794</v>
      </c>
      <c r="E118" s="2"/>
      <c r="F118" s="2"/>
      <c r="G118" s="2"/>
      <c r="H118" s="2"/>
      <c r="I118" s="2"/>
      <c r="J118" s="2"/>
      <c r="K118" s="2">
        <v>0</v>
      </c>
      <c r="L118" s="2"/>
      <c r="M118" s="2" t="s">
        <v>903</v>
      </c>
      <c r="N118" s="4" t="s">
        <v>904</v>
      </c>
      <c r="O118" s="2"/>
      <c r="P118" s="2"/>
      <c r="Q118" s="2"/>
      <c r="R118" s="2"/>
      <c r="S118" s="2"/>
      <c r="T118" s="2"/>
      <c r="U118" s="2"/>
      <c r="V118" s="2" t="s">
        <v>905</v>
      </c>
      <c r="W118" s="2" t="s">
        <v>906</v>
      </c>
      <c r="X118" t="s">
        <v>907</v>
      </c>
      <c r="Y118" s="2" t="s">
        <v>29</v>
      </c>
      <c r="Z118" s="2" t="s">
        <v>24</v>
      </c>
      <c r="AA118" s="2"/>
      <c r="AB118" s="2" t="s">
        <v>25</v>
      </c>
      <c r="AC118" s="2" t="s">
        <v>908</v>
      </c>
    </row>
    <row r="119" spans="1:29" ht="360" x14ac:dyDescent="0.25">
      <c r="A119" s="2" t="s">
        <v>732</v>
      </c>
      <c r="B119" s="2" t="s">
        <v>992</v>
      </c>
      <c r="C119" s="2">
        <v>2008</v>
      </c>
      <c r="D119" s="2" t="s">
        <v>324</v>
      </c>
      <c r="E119" s="2" t="s">
        <v>279</v>
      </c>
      <c r="F119" s="2" t="s">
        <v>28</v>
      </c>
      <c r="G119" s="2"/>
      <c r="H119" s="2">
        <v>49</v>
      </c>
      <c r="I119" s="2">
        <v>65</v>
      </c>
      <c r="J119" s="2">
        <v>16</v>
      </c>
      <c r="K119" s="2">
        <v>15</v>
      </c>
      <c r="L119" s="2" t="s">
        <v>993</v>
      </c>
      <c r="M119" s="2" t="s">
        <v>994</v>
      </c>
      <c r="N119" s="4" t="s">
        <v>995</v>
      </c>
      <c r="O119" s="2"/>
      <c r="P119" s="2"/>
      <c r="Q119" s="2"/>
      <c r="R119" s="2"/>
      <c r="S119" s="2"/>
      <c r="T119" s="2"/>
      <c r="U119" s="2"/>
      <c r="V119" s="2" t="s">
        <v>996</v>
      </c>
      <c r="W119" s="2" t="s">
        <v>997</v>
      </c>
      <c r="X119" t="s">
        <v>998</v>
      </c>
      <c r="Y119" s="2" t="s">
        <v>23</v>
      </c>
      <c r="Z119" s="2" t="s">
        <v>24</v>
      </c>
      <c r="AA119" s="2"/>
      <c r="AB119" s="2" t="s">
        <v>25</v>
      </c>
      <c r="AC119" s="2" t="s">
        <v>999</v>
      </c>
    </row>
    <row r="120" spans="1:29" ht="360" x14ac:dyDescent="0.25">
      <c r="A120" s="2" t="s">
        <v>1094</v>
      </c>
      <c r="B120" s="2" t="s">
        <v>1095</v>
      </c>
      <c r="C120" s="2">
        <v>2008</v>
      </c>
      <c r="D120" s="2" t="s">
        <v>324</v>
      </c>
      <c r="E120" s="2" t="s">
        <v>279</v>
      </c>
      <c r="F120" s="2" t="s">
        <v>28</v>
      </c>
      <c r="G120" s="2"/>
      <c r="H120" s="2">
        <v>33</v>
      </c>
      <c r="I120" s="2">
        <v>48</v>
      </c>
      <c r="J120" s="2">
        <v>15</v>
      </c>
      <c r="K120" s="2">
        <v>10</v>
      </c>
      <c r="L120" s="2" t="s">
        <v>1096</v>
      </c>
      <c r="M120" s="2" t="s">
        <v>1097</v>
      </c>
      <c r="N120" s="4" t="s">
        <v>1098</v>
      </c>
      <c r="O120" s="2"/>
      <c r="P120" s="2"/>
      <c r="Q120" s="2"/>
      <c r="R120" s="2"/>
      <c r="S120" s="2"/>
      <c r="T120" s="2"/>
      <c r="U120" s="2"/>
      <c r="V120" s="2" t="s">
        <v>996</v>
      </c>
      <c r="W120" s="2" t="s">
        <v>1099</v>
      </c>
      <c r="X120" t="s">
        <v>1100</v>
      </c>
      <c r="Y120" s="2" t="s">
        <v>23</v>
      </c>
      <c r="Z120" s="2" t="s">
        <v>24</v>
      </c>
      <c r="AA120" s="2"/>
      <c r="AB120" s="2" t="s">
        <v>25</v>
      </c>
      <c r="AC120" s="2" t="s">
        <v>1101</v>
      </c>
    </row>
    <row r="121" spans="1:29" ht="135" x14ac:dyDescent="0.25">
      <c r="A121" s="2" t="s">
        <v>713</v>
      </c>
      <c r="B121" s="2" t="s">
        <v>714</v>
      </c>
      <c r="C121" s="2">
        <v>2007</v>
      </c>
      <c r="D121" s="2" t="s">
        <v>715</v>
      </c>
      <c r="E121" s="2"/>
      <c r="F121" s="2"/>
      <c r="G121" s="2"/>
      <c r="H121" s="2">
        <v>1748</v>
      </c>
      <c r="I121" s="2">
        <v>1755</v>
      </c>
      <c r="J121" s="2">
        <v>7</v>
      </c>
      <c r="K121" s="2">
        <v>1</v>
      </c>
      <c r="L121" s="2"/>
      <c r="M121" s="12" t="s">
        <v>716</v>
      </c>
      <c r="N121" s="14" t="s">
        <v>717</v>
      </c>
      <c r="O121" s="2" t="s">
        <v>1351</v>
      </c>
      <c r="P121" s="2" t="s">
        <v>1350</v>
      </c>
      <c r="Q121" s="2"/>
      <c r="R121" s="2"/>
      <c r="S121" s="2"/>
      <c r="T121" s="2"/>
      <c r="U121" s="2"/>
      <c r="V121" s="2" t="s">
        <v>718</v>
      </c>
      <c r="W121" s="2" t="s">
        <v>719</v>
      </c>
      <c r="X121" t="s">
        <v>720</v>
      </c>
      <c r="Y121" s="2" t="s">
        <v>29</v>
      </c>
      <c r="Z121" s="2" t="s">
        <v>24</v>
      </c>
      <c r="AA121" s="2"/>
      <c r="AB121" s="2" t="s">
        <v>25</v>
      </c>
      <c r="AC121" s="2" t="s">
        <v>721</v>
      </c>
    </row>
    <row r="122" spans="1:29" ht="180" x14ac:dyDescent="0.25">
      <c r="A122" s="2" t="s">
        <v>929</v>
      </c>
      <c r="B122" s="2" t="s">
        <v>930</v>
      </c>
      <c r="C122" s="2">
        <v>2007</v>
      </c>
      <c r="D122" s="2" t="s">
        <v>175</v>
      </c>
      <c r="E122" s="2" t="s">
        <v>931</v>
      </c>
      <c r="F122" s="2" t="s">
        <v>398</v>
      </c>
      <c r="G122" s="2"/>
      <c r="H122" s="2">
        <v>1131</v>
      </c>
      <c r="I122" s="2">
        <v>1139</v>
      </c>
      <c r="J122" s="2">
        <v>8</v>
      </c>
      <c r="K122" s="2">
        <v>17</v>
      </c>
      <c r="L122" s="2" t="s">
        <v>932</v>
      </c>
      <c r="M122" s="12" t="s">
        <v>933</v>
      </c>
      <c r="N122" s="15" t="s">
        <v>934</v>
      </c>
      <c r="O122" s="2" t="s">
        <v>1351</v>
      </c>
      <c r="P122" s="2"/>
      <c r="Q122" s="2"/>
      <c r="R122" s="2"/>
      <c r="S122" s="2"/>
      <c r="T122" s="2"/>
      <c r="U122" s="2"/>
      <c r="V122" s="2" t="s">
        <v>935</v>
      </c>
      <c r="W122" s="2" t="s">
        <v>936</v>
      </c>
      <c r="X122" t="s">
        <v>937</v>
      </c>
      <c r="Y122" s="2" t="s">
        <v>23</v>
      </c>
      <c r="Z122" s="2" t="s">
        <v>24</v>
      </c>
      <c r="AA122" s="2"/>
      <c r="AB122" s="2" t="s">
        <v>25</v>
      </c>
      <c r="AC122" s="2" t="s">
        <v>938</v>
      </c>
    </row>
    <row r="123" spans="1:29" ht="135" x14ac:dyDescent="0.25">
      <c r="A123" s="2" t="s">
        <v>1047</v>
      </c>
      <c r="B123" s="2" t="s">
        <v>1048</v>
      </c>
      <c r="C123" s="2">
        <v>2007</v>
      </c>
      <c r="D123" s="2" t="s">
        <v>175</v>
      </c>
      <c r="E123" s="2" t="s">
        <v>931</v>
      </c>
      <c r="F123" s="2" t="s">
        <v>87</v>
      </c>
      <c r="G123" s="2"/>
      <c r="H123" s="2">
        <v>1047</v>
      </c>
      <c r="I123" s="2">
        <v>1054</v>
      </c>
      <c r="J123" s="2">
        <v>7</v>
      </c>
      <c r="K123" s="2">
        <v>28</v>
      </c>
      <c r="L123" s="2" t="s">
        <v>1049</v>
      </c>
      <c r="M123" s="2" t="s">
        <v>1050</v>
      </c>
      <c r="N123" s="4" t="s">
        <v>1051</v>
      </c>
      <c r="O123" s="2"/>
      <c r="P123" s="2"/>
      <c r="Q123" s="2"/>
      <c r="R123" s="2"/>
      <c r="S123" s="2"/>
      <c r="T123" s="2"/>
      <c r="U123" s="2"/>
      <c r="V123" s="2" t="s">
        <v>1052</v>
      </c>
      <c r="W123" s="2" t="s">
        <v>1053</v>
      </c>
      <c r="X123" t="s">
        <v>1054</v>
      </c>
      <c r="Y123" s="2" t="s">
        <v>23</v>
      </c>
      <c r="Z123" s="2" t="s">
        <v>24</v>
      </c>
      <c r="AA123" s="2"/>
      <c r="AB123" s="2" t="s">
        <v>25</v>
      </c>
      <c r="AC123" s="2" t="s">
        <v>1055</v>
      </c>
    </row>
    <row r="124" spans="1:29" ht="165" x14ac:dyDescent="0.25">
      <c r="A124" s="2" t="s">
        <v>1126</v>
      </c>
      <c r="B124" s="2" t="s">
        <v>1127</v>
      </c>
      <c r="C124" s="2">
        <v>2007</v>
      </c>
      <c r="D124" s="2" t="s">
        <v>128</v>
      </c>
      <c r="E124" s="2"/>
      <c r="F124" s="2"/>
      <c r="G124" s="2"/>
      <c r="H124" s="2"/>
      <c r="I124" s="2"/>
      <c r="J124" s="2"/>
      <c r="K124" s="2">
        <v>1</v>
      </c>
      <c r="L124" s="2"/>
      <c r="M124" s="12" t="s">
        <v>1128</v>
      </c>
      <c r="N124" s="14" t="s">
        <v>1129</v>
      </c>
      <c r="O124" s="2" t="s">
        <v>1351</v>
      </c>
      <c r="P124" s="2" t="s">
        <v>1351</v>
      </c>
      <c r="Q124" s="2" t="s">
        <v>1371</v>
      </c>
      <c r="R124" s="2"/>
      <c r="S124" s="2"/>
      <c r="T124" s="2"/>
      <c r="U124" s="2"/>
      <c r="V124" s="2"/>
      <c r="W124" s="2"/>
      <c r="X124" t="s">
        <v>1130</v>
      </c>
      <c r="Y124" s="2" t="s">
        <v>29</v>
      </c>
      <c r="Z124" s="2" t="s">
        <v>24</v>
      </c>
      <c r="AA124" s="2"/>
      <c r="AB124" s="2" t="s">
        <v>25</v>
      </c>
      <c r="AC124" s="2" t="s">
        <v>1131</v>
      </c>
    </row>
    <row r="125" spans="1:29" ht="165" x14ac:dyDescent="0.25">
      <c r="A125" s="2" t="s">
        <v>1132</v>
      </c>
      <c r="B125" s="2" t="s">
        <v>1133</v>
      </c>
      <c r="C125" s="2">
        <v>2007</v>
      </c>
      <c r="D125" s="2" t="s">
        <v>128</v>
      </c>
      <c r="E125" s="2"/>
      <c r="F125" s="2"/>
      <c r="G125" s="2"/>
      <c r="H125" s="2"/>
      <c r="I125" s="2"/>
      <c r="J125" s="2"/>
      <c r="K125" s="2">
        <v>1</v>
      </c>
      <c r="L125" s="2"/>
      <c r="M125" s="12" t="s">
        <v>1134</v>
      </c>
      <c r="N125" s="14" t="s">
        <v>1135</v>
      </c>
      <c r="O125" s="2" t="s">
        <v>1351</v>
      </c>
      <c r="P125" s="2" t="s">
        <v>1350</v>
      </c>
      <c r="Q125" s="2"/>
      <c r="R125" s="2"/>
      <c r="S125" s="2"/>
      <c r="T125" s="2"/>
      <c r="U125" s="2"/>
      <c r="V125" s="2"/>
      <c r="W125" s="2"/>
      <c r="X125" t="s">
        <v>1136</v>
      </c>
      <c r="Y125" s="2" t="s">
        <v>29</v>
      </c>
      <c r="Z125" s="2" t="s">
        <v>24</v>
      </c>
      <c r="AA125" s="2"/>
      <c r="AB125" s="2" t="s">
        <v>25</v>
      </c>
      <c r="AC125" s="2" t="s">
        <v>1137</v>
      </c>
    </row>
    <row r="126" spans="1:29" ht="150" x14ac:dyDescent="0.25">
      <c r="A126" s="2" t="s">
        <v>1144</v>
      </c>
      <c r="B126" s="2" t="s">
        <v>1145</v>
      </c>
      <c r="C126" s="2">
        <v>2007</v>
      </c>
      <c r="D126" s="2" t="s">
        <v>128</v>
      </c>
      <c r="E126" s="2"/>
      <c r="F126" s="2"/>
      <c r="G126" s="2"/>
      <c r="H126" s="2"/>
      <c r="I126" s="2"/>
      <c r="J126" s="2"/>
      <c r="K126" s="2">
        <v>4</v>
      </c>
      <c r="L126" s="2"/>
      <c r="M126" s="12" t="s">
        <v>1146</v>
      </c>
      <c r="N126" s="14" t="s">
        <v>1147</v>
      </c>
      <c r="O126" s="2" t="s">
        <v>1351</v>
      </c>
      <c r="P126" s="2" t="s">
        <v>1350</v>
      </c>
      <c r="Q126" s="2"/>
      <c r="R126" s="2"/>
      <c r="S126" s="2"/>
      <c r="T126" s="2"/>
      <c r="U126" s="2"/>
      <c r="V126" s="2"/>
      <c r="W126" s="2"/>
      <c r="X126" t="s">
        <v>1148</v>
      </c>
      <c r="Y126" s="2" t="s">
        <v>29</v>
      </c>
      <c r="Z126" s="2" t="s">
        <v>24</v>
      </c>
      <c r="AA126" s="2"/>
      <c r="AB126" s="2" t="s">
        <v>25</v>
      </c>
      <c r="AC126" s="2" t="s">
        <v>1149</v>
      </c>
    </row>
    <row r="127" spans="1:29" ht="165" x14ac:dyDescent="0.25">
      <c r="A127" s="2" t="s">
        <v>1235</v>
      </c>
      <c r="B127" s="2" t="s">
        <v>1236</v>
      </c>
      <c r="C127" s="2">
        <v>2007</v>
      </c>
      <c r="D127" s="2" t="s">
        <v>128</v>
      </c>
      <c r="E127" s="2"/>
      <c r="F127" s="2"/>
      <c r="G127" s="2"/>
      <c r="H127" s="2"/>
      <c r="I127" s="2"/>
      <c r="J127" s="2"/>
      <c r="K127" s="2">
        <v>10</v>
      </c>
      <c r="L127" s="2"/>
      <c r="M127" s="2" t="s">
        <v>1237</v>
      </c>
      <c r="N127" s="7" t="s">
        <v>1238</v>
      </c>
      <c r="O127" s="2"/>
      <c r="P127" s="2"/>
      <c r="Q127" s="2"/>
      <c r="R127" s="2"/>
      <c r="S127" s="2"/>
      <c r="T127" s="2" t="s">
        <v>1371</v>
      </c>
      <c r="U127" s="2"/>
      <c r="V127" s="2"/>
      <c r="W127" s="2"/>
      <c r="X127" t="s">
        <v>1239</v>
      </c>
      <c r="Y127" s="2" t="s">
        <v>29</v>
      </c>
      <c r="Z127" s="2" t="s">
        <v>24</v>
      </c>
      <c r="AA127" s="2"/>
      <c r="AB127" s="2" t="s">
        <v>25</v>
      </c>
      <c r="AC127" s="2" t="s">
        <v>1240</v>
      </c>
    </row>
    <row r="128" spans="1:29" ht="165" x14ac:dyDescent="0.25">
      <c r="A128" s="2" t="s">
        <v>1250</v>
      </c>
      <c r="B128" s="2" t="s">
        <v>1251</v>
      </c>
      <c r="C128" s="2">
        <v>2007</v>
      </c>
      <c r="D128" s="2" t="s">
        <v>128</v>
      </c>
      <c r="E128" s="2"/>
      <c r="F128" s="2"/>
      <c r="G128" s="2"/>
      <c r="H128" s="2"/>
      <c r="I128" s="2"/>
      <c r="J128" s="2"/>
      <c r="K128" s="2">
        <v>23</v>
      </c>
      <c r="L128" s="2"/>
      <c r="M128" s="12" t="s">
        <v>1252</v>
      </c>
      <c r="N128" s="14" t="s">
        <v>1253</v>
      </c>
      <c r="O128" s="2" t="s">
        <v>1351</v>
      </c>
      <c r="P128" s="2" t="s">
        <v>1351</v>
      </c>
      <c r="Q128" s="2" t="s">
        <v>1371</v>
      </c>
      <c r="R128" s="2"/>
      <c r="S128" s="2"/>
      <c r="T128" s="2"/>
      <c r="U128" s="2"/>
      <c r="V128" s="2"/>
      <c r="W128" s="2"/>
      <c r="X128" t="s">
        <v>1254</v>
      </c>
      <c r="Y128" s="2" t="s">
        <v>29</v>
      </c>
      <c r="Z128" s="2" t="s">
        <v>24</v>
      </c>
      <c r="AA128" s="2"/>
      <c r="AB128" s="2" t="s">
        <v>25</v>
      </c>
      <c r="AC128" s="2" t="s">
        <v>1255</v>
      </c>
    </row>
    <row r="129" spans="1:29" ht="195" x14ac:dyDescent="0.25">
      <c r="A129" s="2" t="s">
        <v>1288</v>
      </c>
      <c r="B129" s="2" t="s">
        <v>1289</v>
      </c>
      <c r="C129" s="2">
        <v>2007</v>
      </c>
      <c r="D129" s="2" t="s">
        <v>128</v>
      </c>
      <c r="E129" s="2"/>
      <c r="F129" s="2"/>
      <c r="G129" s="2"/>
      <c r="H129" s="2"/>
      <c r="I129" s="2"/>
      <c r="J129" s="2"/>
      <c r="K129" s="2">
        <v>3</v>
      </c>
      <c r="L129" s="2"/>
      <c r="M129" s="2" t="s">
        <v>1290</v>
      </c>
      <c r="N129" s="4" t="s">
        <v>1291</v>
      </c>
      <c r="O129" s="2"/>
      <c r="P129" s="2"/>
      <c r="Q129" s="2"/>
      <c r="R129" s="2"/>
      <c r="S129" s="2"/>
      <c r="T129" s="2"/>
      <c r="U129" s="2"/>
      <c r="V129" s="2"/>
      <c r="W129" s="2"/>
      <c r="X129" t="s">
        <v>1292</v>
      </c>
      <c r="Y129" s="2" t="s">
        <v>29</v>
      </c>
      <c r="Z129" s="2" t="s">
        <v>24</v>
      </c>
      <c r="AA129" s="2"/>
      <c r="AB129" s="2" t="s">
        <v>25</v>
      </c>
      <c r="AC129" s="2" t="s">
        <v>1293</v>
      </c>
    </row>
    <row r="130" spans="1:29" ht="165" x14ac:dyDescent="0.25">
      <c r="A130" s="2" t="s">
        <v>1298</v>
      </c>
      <c r="B130" s="2" t="s">
        <v>1299</v>
      </c>
      <c r="C130" s="2">
        <v>2007</v>
      </c>
      <c r="D130" s="2" t="s">
        <v>128</v>
      </c>
      <c r="E130" s="2"/>
      <c r="F130" s="2"/>
      <c r="G130" s="2"/>
      <c r="H130" s="2"/>
      <c r="I130" s="2"/>
      <c r="J130" s="2"/>
      <c r="K130" s="2">
        <v>1</v>
      </c>
      <c r="L130" s="2"/>
      <c r="M130" s="12" t="s">
        <v>1300</v>
      </c>
      <c r="N130" s="14" t="s">
        <v>1301</v>
      </c>
      <c r="O130" s="2" t="s">
        <v>1351</v>
      </c>
      <c r="P130" s="2" t="s">
        <v>1350</v>
      </c>
      <c r="Q130" s="2"/>
      <c r="R130" s="2"/>
      <c r="S130" s="2"/>
      <c r="T130" s="2"/>
      <c r="U130" s="2"/>
      <c r="V130" s="2"/>
      <c r="W130" s="2"/>
      <c r="X130" t="s">
        <v>1302</v>
      </c>
      <c r="Y130" s="2" t="s">
        <v>29</v>
      </c>
      <c r="Z130" s="2" t="s">
        <v>24</v>
      </c>
      <c r="AA130" s="2"/>
      <c r="AB130" s="2" t="s">
        <v>25</v>
      </c>
      <c r="AC130" s="2" t="s">
        <v>1303</v>
      </c>
    </row>
    <row r="131" spans="1:29" ht="315" x14ac:dyDescent="0.25">
      <c r="A131" s="2" t="s">
        <v>1312</v>
      </c>
      <c r="B131" s="2" t="s">
        <v>1313</v>
      </c>
      <c r="C131" s="2">
        <v>2007</v>
      </c>
      <c r="D131" s="2" t="s">
        <v>128</v>
      </c>
      <c r="E131" s="2"/>
      <c r="F131" s="2"/>
      <c r="G131" s="2"/>
      <c r="H131" s="2"/>
      <c r="I131" s="2"/>
      <c r="J131" s="2"/>
      <c r="K131" s="2">
        <v>0</v>
      </c>
      <c r="L131" s="2"/>
      <c r="M131" s="12" t="s">
        <v>1314</v>
      </c>
      <c r="N131" s="14" t="s">
        <v>1315</v>
      </c>
      <c r="O131" s="2" t="s">
        <v>1351</v>
      </c>
      <c r="P131" s="2" t="s">
        <v>1350</v>
      </c>
      <c r="Q131" s="2" t="s">
        <v>1371</v>
      </c>
      <c r="R131" s="2"/>
      <c r="S131" s="2"/>
      <c r="T131" s="2"/>
      <c r="U131" s="20"/>
      <c r="V131" s="2"/>
      <c r="W131" s="2"/>
      <c r="X131" t="s">
        <v>1316</v>
      </c>
      <c r="Y131" s="2" t="s">
        <v>29</v>
      </c>
      <c r="Z131" s="2" t="s">
        <v>24</v>
      </c>
      <c r="AA131" s="2"/>
      <c r="AB131" s="2" t="s">
        <v>25</v>
      </c>
      <c r="AC131" s="2" t="s">
        <v>1317</v>
      </c>
    </row>
    <row r="132" spans="1:29" ht="165" x14ac:dyDescent="0.25">
      <c r="A132" s="2" t="s">
        <v>1150</v>
      </c>
      <c r="B132" s="2" t="s">
        <v>1151</v>
      </c>
      <c r="C132" s="2">
        <v>2006</v>
      </c>
      <c r="D132" s="2" t="s">
        <v>1152</v>
      </c>
      <c r="E132" s="2"/>
      <c r="F132" s="2"/>
      <c r="G132" s="2"/>
      <c r="H132" s="2">
        <v>535</v>
      </c>
      <c r="I132" s="2">
        <v>542</v>
      </c>
      <c r="J132" s="2">
        <v>7</v>
      </c>
      <c r="K132" s="2">
        <v>2</v>
      </c>
      <c r="L132" s="2"/>
      <c r="M132" s="2" t="s">
        <v>1153</v>
      </c>
      <c r="N132" s="4" t="s">
        <v>1154</v>
      </c>
      <c r="O132" s="2"/>
      <c r="P132" s="2"/>
      <c r="Q132" s="2"/>
      <c r="R132" s="2"/>
      <c r="S132" s="2"/>
      <c r="T132" s="2"/>
      <c r="U132" s="2"/>
      <c r="V132" s="2"/>
      <c r="W132" s="2" t="s">
        <v>1155</v>
      </c>
      <c r="X132" t="s">
        <v>1156</v>
      </c>
      <c r="Y132" s="2" t="s">
        <v>29</v>
      </c>
      <c r="Z132" s="2" t="s">
        <v>24</v>
      </c>
      <c r="AA132" s="2"/>
      <c r="AB132" s="2" t="s">
        <v>25</v>
      </c>
      <c r="AC132" s="2" t="s">
        <v>1157</v>
      </c>
    </row>
    <row r="133" spans="1:29" s="18" customFormat="1" ht="180" x14ac:dyDescent="0.25">
      <c r="A133" s="2" t="s">
        <v>1304</v>
      </c>
      <c r="B133" s="2" t="s">
        <v>1305</v>
      </c>
      <c r="C133" s="2">
        <v>2006</v>
      </c>
      <c r="D133" s="2" t="s">
        <v>120</v>
      </c>
      <c r="E133" s="2" t="s">
        <v>1306</v>
      </c>
      <c r="F133" s="2"/>
      <c r="G133" s="2"/>
      <c r="H133" s="2">
        <v>485</v>
      </c>
      <c r="I133" s="2">
        <v>497</v>
      </c>
      <c r="J133" s="2">
        <v>12</v>
      </c>
      <c r="K133" s="2">
        <v>42</v>
      </c>
      <c r="L133" s="2"/>
      <c r="M133" s="2" t="s">
        <v>1307</v>
      </c>
      <c r="N133" s="7" t="s">
        <v>1308</v>
      </c>
      <c r="O133" s="2"/>
      <c r="P133" s="2"/>
      <c r="Q133" s="2"/>
      <c r="R133" s="2"/>
      <c r="S133" s="2"/>
      <c r="T133" s="2" t="s">
        <v>1371</v>
      </c>
      <c r="U133" s="2"/>
      <c r="V133" s="2"/>
      <c r="W133" s="2" t="s">
        <v>1309</v>
      </c>
      <c r="X133" t="s">
        <v>1310</v>
      </c>
      <c r="Y133" s="2" t="s">
        <v>29</v>
      </c>
      <c r="Z133" s="2" t="s">
        <v>24</v>
      </c>
      <c r="AA133" s="2"/>
      <c r="AB133" s="2" t="s">
        <v>25</v>
      </c>
      <c r="AC133" s="2" t="s">
        <v>1311</v>
      </c>
    </row>
    <row r="134" spans="1:29" ht="240" x14ac:dyDescent="0.25">
      <c r="A134" s="11" t="s">
        <v>1337</v>
      </c>
      <c r="B134" s="11" t="s">
        <v>1338</v>
      </c>
      <c r="C134" s="11">
        <v>2006</v>
      </c>
      <c r="D134" s="2" t="s">
        <v>1339</v>
      </c>
      <c r="E134" s="2" t="s">
        <v>731</v>
      </c>
      <c r="F134" s="2" t="s">
        <v>83</v>
      </c>
      <c r="G134" s="2"/>
      <c r="H134" s="2">
        <v>2340</v>
      </c>
      <c r="I134" s="2">
        <v>2349</v>
      </c>
      <c r="J134" s="2">
        <v>9</v>
      </c>
      <c r="K134" s="2">
        <v>23</v>
      </c>
      <c r="L134" s="2" t="s">
        <v>1340</v>
      </c>
      <c r="M134" s="16" t="s">
        <v>1341</v>
      </c>
      <c r="N134" s="17" t="s">
        <v>1342</v>
      </c>
      <c r="O134" s="2" t="s">
        <v>1351</v>
      </c>
      <c r="P134" s="2" t="s">
        <v>1355</v>
      </c>
      <c r="Q134" s="2"/>
      <c r="R134" s="2"/>
      <c r="S134" s="2"/>
      <c r="T134" s="2" t="s">
        <v>1371</v>
      </c>
      <c r="U134" s="2"/>
      <c r="V134" s="2" t="s">
        <v>1343</v>
      </c>
      <c r="W134" s="2" t="s">
        <v>1344</v>
      </c>
      <c r="X134" t="s">
        <v>1345</v>
      </c>
      <c r="Y134" s="2" t="s">
        <v>23</v>
      </c>
      <c r="Z134" s="2" t="s">
        <v>24</v>
      </c>
      <c r="AA134" s="2"/>
      <c r="AB134" s="2" t="s">
        <v>25</v>
      </c>
      <c r="AC134" s="2" t="s">
        <v>1346</v>
      </c>
    </row>
    <row r="135" spans="1:29" ht="150" x14ac:dyDescent="0.25">
      <c r="A135" s="2" t="s">
        <v>1194</v>
      </c>
      <c r="B135" s="2" t="s">
        <v>1195</v>
      </c>
      <c r="C135" s="2">
        <v>2005</v>
      </c>
      <c r="D135" s="2" t="s">
        <v>1139</v>
      </c>
      <c r="E135" s="2" t="s">
        <v>84</v>
      </c>
      <c r="F135" s="2" t="s">
        <v>80</v>
      </c>
      <c r="G135" s="2"/>
      <c r="H135" s="2">
        <v>269</v>
      </c>
      <c r="I135" s="2">
        <v>287</v>
      </c>
      <c r="J135" s="2">
        <v>18</v>
      </c>
      <c r="K135" s="2">
        <v>15</v>
      </c>
      <c r="L135" s="2" t="s">
        <v>1196</v>
      </c>
      <c r="M135" s="12" t="s">
        <v>1197</v>
      </c>
      <c r="N135" s="14" t="s">
        <v>1198</v>
      </c>
      <c r="O135" s="2" t="s">
        <v>1351</v>
      </c>
      <c r="P135" s="2" t="s">
        <v>1351</v>
      </c>
      <c r="Q135" s="2"/>
      <c r="R135" s="2"/>
      <c r="S135" s="2"/>
      <c r="T135" s="2"/>
      <c r="U135" s="2"/>
      <c r="V135" s="2" t="s">
        <v>1199</v>
      </c>
      <c r="W135" s="2" t="s">
        <v>1200</v>
      </c>
      <c r="X135" t="s">
        <v>1201</v>
      </c>
      <c r="Y135" s="2" t="s">
        <v>23</v>
      </c>
      <c r="Z135" s="2" t="s">
        <v>24</v>
      </c>
      <c r="AA135" s="2"/>
      <c r="AB135" s="2" t="s">
        <v>25</v>
      </c>
      <c r="AC135" s="2" t="s">
        <v>1202</v>
      </c>
    </row>
    <row r="136" spans="1:29" ht="315" x14ac:dyDescent="0.25">
      <c r="A136" s="2" t="s">
        <v>1241</v>
      </c>
      <c r="B136" s="2" t="s">
        <v>1242</v>
      </c>
      <c r="C136" s="2">
        <v>2005</v>
      </c>
      <c r="D136" s="2" t="s">
        <v>1139</v>
      </c>
      <c r="E136" s="2" t="s">
        <v>1243</v>
      </c>
      <c r="F136" s="2" t="s">
        <v>22</v>
      </c>
      <c r="G136" s="2"/>
      <c r="H136" s="2">
        <v>145</v>
      </c>
      <c r="I136" s="2">
        <v>169</v>
      </c>
      <c r="J136" s="2">
        <v>24</v>
      </c>
      <c r="K136" s="2">
        <v>0</v>
      </c>
      <c r="L136" s="2" t="s">
        <v>1244</v>
      </c>
      <c r="M136" s="2" t="s">
        <v>1245</v>
      </c>
      <c r="N136" s="4" t="s">
        <v>1246</v>
      </c>
      <c r="O136" s="2"/>
      <c r="P136" s="2"/>
      <c r="Q136" s="2"/>
      <c r="R136" s="2"/>
      <c r="S136" s="2"/>
      <c r="T136" s="2"/>
      <c r="U136" s="2"/>
      <c r="V136" s="2" t="s">
        <v>1247</v>
      </c>
      <c r="W136" s="2"/>
      <c r="X136" t="s">
        <v>1248</v>
      </c>
      <c r="Y136" s="2" t="s">
        <v>23</v>
      </c>
      <c r="Z136" s="2" t="s">
        <v>24</v>
      </c>
      <c r="AA136" s="2"/>
      <c r="AB136" s="2" t="s">
        <v>25</v>
      </c>
      <c r="AC136" s="2" t="s">
        <v>1249</v>
      </c>
    </row>
    <row r="137" spans="1:29" ht="105" x14ac:dyDescent="0.25">
      <c r="A137" s="11" t="s">
        <v>1263</v>
      </c>
      <c r="B137" s="11" t="s">
        <v>1264</v>
      </c>
      <c r="C137" s="11">
        <v>2005</v>
      </c>
      <c r="D137" s="2" t="s">
        <v>1256</v>
      </c>
      <c r="E137" s="2"/>
      <c r="F137" s="2"/>
      <c r="G137" s="2"/>
      <c r="H137" s="2">
        <v>1107</v>
      </c>
      <c r="I137" s="2">
        <v>1114</v>
      </c>
      <c r="J137" s="2">
        <v>7</v>
      </c>
      <c r="K137" s="2">
        <v>19</v>
      </c>
      <c r="L137" s="2"/>
      <c r="M137" s="16" t="s">
        <v>1265</v>
      </c>
      <c r="N137" s="17" t="s">
        <v>1266</v>
      </c>
      <c r="O137" s="11" t="s">
        <v>1351</v>
      </c>
      <c r="P137" s="11" t="s">
        <v>1355</v>
      </c>
      <c r="Q137" s="11"/>
      <c r="R137" s="11"/>
      <c r="S137" s="11"/>
      <c r="T137" s="11" t="s">
        <v>1371</v>
      </c>
      <c r="U137" s="11"/>
      <c r="V137" s="11"/>
      <c r="W137" s="11" t="s">
        <v>1267</v>
      </c>
      <c r="X137" s="18" t="s">
        <v>1268</v>
      </c>
      <c r="Y137" s="11" t="s">
        <v>29</v>
      </c>
      <c r="Z137" s="11" t="s">
        <v>24</v>
      </c>
      <c r="AA137" s="11"/>
      <c r="AB137" s="11" t="s">
        <v>25</v>
      </c>
      <c r="AC137" s="11" t="s">
        <v>1269</v>
      </c>
    </row>
    <row r="138" spans="1:29" ht="210" x14ac:dyDescent="0.25">
      <c r="A138" s="2" t="s">
        <v>1120</v>
      </c>
      <c r="B138" s="2" t="s">
        <v>1121</v>
      </c>
      <c r="C138" s="2">
        <v>2004</v>
      </c>
      <c r="D138" s="2" t="s">
        <v>128</v>
      </c>
      <c r="E138" s="2"/>
      <c r="F138" s="2"/>
      <c r="G138" s="2"/>
      <c r="H138" s="2"/>
      <c r="I138" s="2"/>
      <c r="J138" s="2"/>
      <c r="K138" s="2">
        <v>7</v>
      </c>
      <c r="L138" s="2"/>
      <c r="M138" s="12" t="s">
        <v>1122</v>
      </c>
      <c r="N138" s="14" t="s">
        <v>1123</v>
      </c>
      <c r="O138" s="2" t="s">
        <v>1351</v>
      </c>
      <c r="P138" s="2" t="s">
        <v>1350</v>
      </c>
      <c r="Q138" s="2"/>
      <c r="R138" s="2"/>
      <c r="S138" s="2"/>
      <c r="T138" s="2"/>
      <c r="U138" s="2"/>
      <c r="V138" s="2"/>
      <c r="W138" s="2"/>
      <c r="X138" t="s">
        <v>1124</v>
      </c>
      <c r="Y138" s="2" t="s">
        <v>29</v>
      </c>
      <c r="Z138" s="2" t="s">
        <v>24</v>
      </c>
      <c r="AA138" s="2"/>
      <c r="AB138" s="2" t="s">
        <v>25</v>
      </c>
      <c r="AC138" s="2" t="s">
        <v>1125</v>
      </c>
    </row>
    <row r="139" spans="1:29" ht="105" x14ac:dyDescent="0.25">
      <c r="A139" s="2" t="s">
        <v>1324</v>
      </c>
      <c r="B139" s="2" t="s">
        <v>1325</v>
      </c>
      <c r="C139" s="2">
        <v>2004</v>
      </c>
      <c r="D139" s="2" t="s">
        <v>128</v>
      </c>
      <c r="E139" s="2"/>
      <c r="F139" s="2"/>
      <c r="G139" s="2"/>
      <c r="H139" s="2"/>
      <c r="I139" s="2"/>
      <c r="J139" s="2"/>
      <c r="K139" s="2">
        <v>12</v>
      </c>
      <c r="L139" s="2"/>
      <c r="M139" s="2" t="s">
        <v>1326</v>
      </c>
      <c r="N139" s="6" t="s">
        <v>1327</v>
      </c>
      <c r="O139" s="2"/>
      <c r="P139" s="2"/>
      <c r="Q139" s="2"/>
      <c r="R139" s="2"/>
      <c r="S139" s="2"/>
      <c r="T139" s="2"/>
      <c r="U139" s="2"/>
      <c r="V139" s="2"/>
      <c r="W139" s="2"/>
      <c r="X139" t="s">
        <v>1328</v>
      </c>
      <c r="Y139" s="2" t="s">
        <v>29</v>
      </c>
      <c r="Z139" s="2" t="s">
        <v>24</v>
      </c>
      <c r="AA139" s="2"/>
      <c r="AB139" s="2" t="s">
        <v>25</v>
      </c>
      <c r="AC139" s="2" t="s">
        <v>1329</v>
      </c>
    </row>
    <row r="140" spans="1:29" ht="195" x14ac:dyDescent="0.25">
      <c r="A140" s="2" t="s">
        <v>1278</v>
      </c>
      <c r="B140" s="2" t="s">
        <v>1279</v>
      </c>
      <c r="C140" s="2">
        <v>2003</v>
      </c>
      <c r="D140" s="2" t="s">
        <v>1280</v>
      </c>
      <c r="E140" s="2"/>
      <c r="F140" s="2" t="s">
        <v>1281</v>
      </c>
      <c r="G140" s="2"/>
      <c r="H140" s="2">
        <v>5</v>
      </c>
      <c r="I140" s="2">
        <v>63</v>
      </c>
      <c r="J140" s="2">
        <v>58</v>
      </c>
      <c r="K140" s="2">
        <v>0</v>
      </c>
      <c r="L140" s="2"/>
      <c r="M140" s="12" t="s">
        <v>1282</v>
      </c>
      <c r="N140" s="23" t="s">
        <v>1283</v>
      </c>
      <c r="O140" s="2" t="s">
        <v>1351</v>
      </c>
      <c r="P140" s="2"/>
      <c r="Q140" s="2"/>
      <c r="R140" s="2"/>
      <c r="S140" s="2"/>
      <c r="T140" s="2"/>
      <c r="U140" s="2"/>
      <c r="V140" s="2" t="s">
        <v>1284</v>
      </c>
      <c r="W140" s="2" t="s">
        <v>1285</v>
      </c>
      <c r="X140" t="s">
        <v>1286</v>
      </c>
      <c r="Y140" s="2" t="s">
        <v>23</v>
      </c>
      <c r="Z140" s="2" t="s">
        <v>24</v>
      </c>
      <c r="AA140" s="2"/>
      <c r="AB140" s="2" t="s">
        <v>25</v>
      </c>
      <c r="AC140" s="2" t="s">
        <v>1287</v>
      </c>
    </row>
    <row r="141" spans="1:29" ht="135" x14ac:dyDescent="0.25">
      <c r="A141" s="2" t="s">
        <v>1270</v>
      </c>
      <c r="B141" s="2" t="s">
        <v>1294</v>
      </c>
      <c r="C141" s="2">
        <v>2002</v>
      </c>
      <c r="D141" s="2" t="s">
        <v>324</v>
      </c>
      <c r="E141" s="2" t="s">
        <v>337</v>
      </c>
      <c r="F141" s="2" t="s">
        <v>28</v>
      </c>
      <c r="G141" s="2"/>
      <c r="H141" s="2">
        <v>53</v>
      </c>
      <c r="I141" s="2">
        <v>91</v>
      </c>
      <c r="J141" s="2">
        <v>38</v>
      </c>
      <c r="K141" s="2">
        <v>9</v>
      </c>
      <c r="L141" s="2" t="s">
        <v>1271</v>
      </c>
      <c r="M141" s="2" t="s">
        <v>1295</v>
      </c>
      <c r="N141" s="11" t="s">
        <v>1296</v>
      </c>
      <c r="O141" s="2"/>
      <c r="P141" s="2"/>
      <c r="Q141" s="2"/>
      <c r="R141" s="2"/>
      <c r="S141" s="2"/>
      <c r="T141" s="2" t="s">
        <v>1371</v>
      </c>
      <c r="U141" s="2"/>
      <c r="V141" s="2"/>
      <c r="W141" s="2"/>
      <c r="Y141" s="2" t="s">
        <v>23</v>
      </c>
      <c r="Z141" s="2" t="s">
        <v>24</v>
      </c>
      <c r="AA141" s="2"/>
      <c r="AB141" s="2" t="s">
        <v>25</v>
      </c>
      <c r="AC141" s="2" t="s">
        <v>1297</v>
      </c>
    </row>
    <row r="142" spans="1:29" ht="135" x14ac:dyDescent="0.25">
      <c r="A142" s="2" t="s">
        <v>1102</v>
      </c>
      <c r="B142" s="2" t="s">
        <v>1103</v>
      </c>
      <c r="C142" s="2">
        <v>2001</v>
      </c>
      <c r="D142" s="2" t="s">
        <v>128</v>
      </c>
      <c r="E142" s="2"/>
      <c r="F142" s="2"/>
      <c r="G142" s="2"/>
      <c r="H142" s="2"/>
      <c r="I142" s="2"/>
      <c r="J142" s="2"/>
      <c r="K142" s="2">
        <v>4</v>
      </c>
      <c r="L142" s="2"/>
      <c r="M142" s="12" t="s">
        <v>1104</v>
      </c>
      <c r="N142" s="14" t="s">
        <v>1105</v>
      </c>
      <c r="O142" s="2" t="s">
        <v>1351</v>
      </c>
      <c r="P142" s="2" t="s">
        <v>1350</v>
      </c>
      <c r="Q142" s="2"/>
      <c r="R142" s="2"/>
      <c r="S142" s="2"/>
      <c r="T142" s="2"/>
      <c r="U142" s="2"/>
      <c r="V142" s="2"/>
      <c r="W142" s="2"/>
      <c r="X142" t="s">
        <v>1106</v>
      </c>
      <c r="Y142" s="2" t="s">
        <v>29</v>
      </c>
      <c r="Z142" s="2" t="s">
        <v>24</v>
      </c>
      <c r="AA142" s="2"/>
      <c r="AB142" s="2" t="s">
        <v>25</v>
      </c>
      <c r="AC142" s="2" t="s">
        <v>1107</v>
      </c>
    </row>
    <row r="143" spans="1:29" ht="180" x14ac:dyDescent="0.25">
      <c r="A143" s="2" t="s">
        <v>1108</v>
      </c>
      <c r="B143" s="2" t="s">
        <v>1109</v>
      </c>
      <c r="C143" s="2">
        <v>1999</v>
      </c>
      <c r="D143" s="2" t="s">
        <v>175</v>
      </c>
      <c r="E143" s="2" t="s">
        <v>1110</v>
      </c>
      <c r="F143" s="2" t="s">
        <v>80</v>
      </c>
      <c r="G143" s="2"/>
      <c r="H143" s="2">
        <v>211</v>
      </c>
      <c r="I143" s="2">
        <v>219</v>
      </c>
      <c r="J143" s="2">
        <v>8</v>
      </c>
      <c r="K143" s="2">
        <v>28</v>
      </c>
      <c r="L143" s="2" t="s">
        <v>1111</v>
      </c>
      <c r="M143" s="12" t="s">
        <v>1112</v>
      </c>
      <c r="N143" s="14" t="s">
        <v>1113</v>
      </c>
      <c r="O143" s="2" t="s">
        <v>1351</v>
      </c>
      <c r="P143" s="2" t="s">
        <v>1350</v>
      </c>
      <c r="Q143" s="2"/>
      <c r="R143" s="2"/>
      <c r="S143" s="2"/>
      <c r="T143" s="2"/>
      <c r="U143" s="2"/>
      <c r="V143" s="2"/>
      <c r="W143" s="2" t="s">
        <v>1114</v>
      </c>
      <c r="X143" t="s">
        <v>1115</v>
      </c>
      <c r="Y143" s="2" t="s">
        <v>23</v>
      </c>
      <c r="Z143" s="2" t="s">
        <v>24</v>
      </c>
      <c r="AA143" s="2" t="s">
        <v>41</v>
      </c>
      <c r="AB143" s="2" t="s">
        <v>25</v>
      </c>
      <c r="AC143" s="2" t="s">
        <v>1116</v>
      </c>
    </row>
    <row r="144" spans="1:29" ht="210" x14ac:dyDescent="0.25">
      <c r="A144" s="2" t="s">
        <v>1213</v>
      </c>
      <c r="B144" s="2" t="s">
        <v>1214</v>
      </c>
      <c r="C144" s="2">
        <v>1999</v>
      </c>
      <c r="D144" s="2" t="s">
        <v>388</v>
      </c>
      <c r="E144" s="2"/>
      <c r="F144" s="2" t="s">
        <v>1215</v>
      </c>
      <c r="G144" s="2"/>
      <c r="H144" s="2">
        <v>32</v>
      </c>
      <c r="I144" s="2">
        <v>51</v>
      </c>
      <c r="J144" s="2">
        <v>19</v>
      </c>
      <c r="K144" s="2">
        <v>4</v>
      </c>
      <c r="L144" s="2" t="s">
        <v>1216</v>
      </c>
      <c r="M144" s="12" t="s">
        <v>1217</v>
      </c>
      <c r="N144" s="23" t="s">
        <v>1414</v>
      </c>
      <c r="O144" s="2" t="s">
        <v>1351</v>
      </c>
      <c r="P144" s="2" t="s">
        <v>1350</v>
      </c>
      <c r="Q144" s="2"/>
      <c r="R144" s="2"/>
      <c r="S144" s="2"/>
      <c r="T144" s="2"/>
      <c r="U144" s="2"/>
      <c r="V144" s="2"/>
      <c r="W144" s="2" t="s">
        <v>1218</v>
      </c>
      <c r="X144" t="s">
        <v>1219</v>
      </c>
      <c r="Y144" s="2" t="s">
        <v>23</v>
      </c>
      <c r="Z144" s="2" t="s">
        <v>24</v>
      </c>
      <c r="AA144" s="2"/>
      <c r="AB144" s="2" t="s">
        <v>25</v>
      </c>
      <c r="AC144" s="2" t="s">
        <v>1220</v>
      </c>
    </row>
    <row r="145" spans="1:30" ht="405" x14ac:dyDescent="0.25">
      <c r="A145" s="2" t="s">
        <v>1188</v>
      </c>
      <c r="B145" s="2" t="s">
        <v>1189</v>
      </c>
      <c r="C145" s="2">
        <v>1998</v>
      </c>
      <c r="D145" s="2" t="s">
        <v>128</v>
      </c>
      <c r="E145" s="2"/>
      <c r="F145" s="2"/>
      <c r="G145" s="2"/>
      <c r="H145" s="2"/>
      <c r="I145" s="2"/>
      <c r="J145" s="2"/>
      <c r="K145" s="2">
        <v>3</v>
      </c>
      <c r="L145" s="2"/>
      <c r="M145" s="12" t="s">
        <v>1190</v>
      </c>
      <c r="N145" s="14" t="s">
        <v>1191</v>
      </c>
      <c r="O145" s="2" t="s">
        <v>1351</v>
      </c>
      <c r="P145" s="2" t="s">
        <v>1350</v>
      </c>
      <c r="Q145" s="2"/>
      <c r="R145" s="2"/>
      <c r="S145" s="2"/>
      <c r="T145" s="2"/>
      <c r="U145" s="2"/>
      <c r="V145" s="2"/>
      <c r="W145" s="2"/>
      <c r="X145" t="s">
        <v>1192</v>
      </c>
      <c r="Y145" s="2" t="s">
        <v>29</v>
      </c>
      <c r="Z145" s="2" t="s">
        <v>24</v>
      </c>
      <c r="AA145" s="2"/>
      <c r="AB145" s="2" t="s">
        <v>25</v>
      </c>
      <c r="AC145" s="2" t="s">
        <v>1193</v>
      </c>
    </row>
    <row r="146" spans="1:30" ht="270" x14ac:dyDescent="0.25">
      <c r="A146" s="2" t="s">
        <v>1229</v>
      </c>
      <c r="B146" s="2" t="s">
        <v>1230</v>
      </c>
      <c r="C146" s="2">
        <v>1998</v>
      </c>
      <c r="D146" s="2" t="s">
        <v>128</v>
      </c>
      <c r="E146" s="2"/>
      <c r="F146" s="2"/>
      <c r="G146" s="2"/>
      <c r="H146" s="2"/>
      <c r="I146" s="2"/>
      <c r="J146" s="2"/>
      <c r="K146" s="2">
        <v>5</v>
      </c>
      <c r="L146" s="2"/>
      <c r="M146" s="12" t="s">
        <v>1231</v>
      </c>
      <c r="N146" s="14" t="s">
        <v>1232</v>
      </c>
      <c r="O146" s="2" t="s">
        <v>1351</v>
      </c>
      <c r="P146" s="2" t="s">
        <v>1350</v>
      </c>
      <c r="Q146" s="2"/>
      <c r="R146" s="2"/>
      <c r="S146" s="2"/>
      <c r="T146" s="2"/>
      <c r="U146" s="2"/>
      <c r="V146" s="2"/>
      <c r="W146" s="2"/>
      <c r="X146" t="s">
        <v>1233</v>
      </c>
      <c r="Y146" s="2" t="s">
        <v>29</v>
      </c>
      <c r="Z146" s="2" t="s">
        <v>24</v>
      </c>
      <c r="AA146" s="2"/>
      <c r="AB146" s="2" t="s">
        <v>25</v>
      </c>
      <c r="AC146" s="2" t="s">
        <v>1234</v>
      </c>
    </row>
    <row r="147" spans="1:30" ht="345" x14ac:dyDescent="0.25">
      <c r="A147" s="2" t="s">
        <v>1257</v>
      </c>
      <c r="B147" s="2" t="s">
        <v>1258</v>
      </c>
      <c r="C147" s="2">
        <v>1998</v>
      </c>
      <c r="D147" s="2" t="s">
        <v>128</v>
      </c>
      <c r="E147" s="2"/>
      <c r="F147" s="2"/>
      <c r="G147" s="2"/>
      <c r="H147" s="2"/>
      <c r="I147" s="2"/>
      <c r="J147" s="2"/>
      <c r="K147" s="2">
        <v>9</v>
      </c>
      <c r="L147" s="2"/>
      <c r="M147" s="2" t="s">
        <v>1259</v>
      </c>
      <c r="N147" s="11" t="s">
        <v>1260</v>
      </c>
      <c r="O147" s="2"/>
      <c r="P147" s="2"/>
      <c r="Q147" s="2"/>
      <c r="R147" s="2"/>
      <c r="S147" s="2"/>
      <c r="T147" s="2" t="s">
        <v>1371</v>
      </c>
      <c r="U147" s="2"/>
      <c r="V147" s="2"/>
      <c r="W147" s="2"/>
      <c r="X147" t="s">
        <v>1261</v>
      </c>
      <c r="Y147" s="2" t="s">
        <v>29</v>
      </c>
      <c r="Z147" s="2" t="s">
        <v>24</v>
      </c>
      <c r="AA147" s="2"/>
      <c r="AB147" s="2" t="s">
        <v>25</v>
      </c>
      <c r="AC147" s="2" t="s">
        <v>1262</v>
      </c>
    </row>
    <row r="148" spans="1:30" ht="285" x14ac:dyDescent="0.25">
      <c r="A148" s="2" t="s">
        <v>1272</v>
      </c>
      <c r="B148" s="2" t="s">
        <v>1273</v>
      </c>
      <c r="C148" s="2">
        <v>1998</v>
      </c>
      <c r="D148" s="2" t="s">
        <v>128</v>
      </c>
      <c r="E148" s="2"/>
      <c r="F148" s="2"/>
      <c r="G148" s="2"/>
      <c r="H148" s="2"/>
      <c r="I148" s="2"/>
      <c r="J148" s="2"/>
      <c r="K148" s="2">
        <v>4</v>
      </c>
      <c r="L148" s="2"/>
      <c r="M148" s="12" t="s">
        <v>1274</v>
      </c>
      <c r="N148" s="4" t="s">
        <v>1275</v>
      </c>
      <c r="O148" s="2" t="s">
        <v>1350</v>
      </c>
      <c r="P148" s="2"/>
      <c r="Q148" s="2"/>
      <c r="R148" s="2"/>
      <c r="S148" s="2"/>
      <c r="T148" s="2"/>
      <c r="U148" s="2"/>
      <c r="V148" s="2"/>
      <c r="W148" s="2"/>
      <c r="X148" t="s">
        <v>1276</v>
      </c>
      <c r="Y148" s="2" t="s">
        <v>29</v>
      </c>
      <c r="Z148" s="2" t="s">
        <v>24</v>
      </c>
      <c r="AA148" s="2"/>
      <c r="AB148" s="2" t="s">
        <v>25</v>
      </c>
      <c r="AC148" s="2" t="s">
        <v>1277</v>
      </c>
    </row>
    <row r="149" spans="1:30" ht="120" x14ac:dyDescent="0.25">
      <c r="A149" s="2" t="s">
        <v>1318</v>
      </c>
      <c r="B149" s="2" t="s">
        <v>1319</v>
      </c>
      <c r="C149" s="2">
        <v>1998</v>
      </c>
      <c r="D149" s="2" t="s">
        <v>128</v>
      </c>
      <c r="E149" s="2"/>
      <c r="F149" s="2"/>
      <c r="G149" s="2"/>
      <c r="H149" s="2"/>
      <c r="I149" s="2"/>
      <c r="J149" s="2"/>
      <c r="K149" s="2">
        <v>7</v>
      </c>
      <c r="L149" s="2"/>
      <c r="M149" s="12" t="s">
        <v>1320</v>
      </c>
      <c r="N149" s="14" t="s">
        <v>1321</v>
      </c>
      <c r="O149" s="2" t="s">
        <v>1351</v>
      </c>
      <c r="P149" s="2" t="s">
        <v>1350</v>
      </c>
      <c r="Q149" s="2"/>
      <c r="R149" s="2"/>
      <c r="S149" s="2"/>
      <c r="T149" s="2"/>
      <c r="U149" s="2"/>
      <c r="V149" s="2"/>
      <c r="W149" s="2"/>
      <c r="X149" t="s">
        <v>1322</v>
      </c>
      <c r="Y149" s="2" t="s">
        <v>29</v>
      </c>
      <c r="Z149" s="2" t="s">
        <v>24</v>
      </c>
      <c r="AA149" s="2"/>
      <c r="AB149" s="2" t="s">
        <v>25</v>
      </c>
      <c r="AC149" s="2" t="s">
        <v>1323</v>
      </c>
    </row>
    <row r="150" spans="1:30" ht="120" x14ac:dyDescent="0.25">
      <c r="A150" s="2" t="s">
        <v>1138</v>
      </c>
      <c r="B150" s="2" t="s">
        <v>1117</v>
      </c>
      <c r="C150" s="2">
        <v>1996</v>
      </c>
      <c r="D150" s="2" t="s">
        <v>1139</v>
      </c>
      <c r="E150" s="2" t="s">
        <v>1118</v>
      </c>
      <c r="F150" s="2" t="s">
        <v>28</v>
      </c>
      <c r="G150" s="2"/>
      <c r="H150" s="2">
        <v>215</v>
      </c>
      <c r="I150" s="2">
        <v>227</v>
      </c>
      <c r="J150" s="2">
        <v>12</v>
      </c>
      <c r="K150" s="2">
        <v>23</v>
      </c>
      <c r="L150" s="2"/>
      <c r="M150" s="12" t="s">
        <v>1140</v>
      </c>
      <c r="N150" s="14" t="s">
        <v>1119</v>
      </c>
      <c r="O150" s="2" t="s">
        <v>1351</v>
      </c>
      <c r="P150" s="2" t="s">
        <v>1350</v>
      </c>
      <c r="Q150" s="2"/>
      <c r="R150" s="2"/>
      <c r="S150" s="2"/>
      <c r="T150" s="2"/>
      <c r="U150" s="2"/>
      <c r="V150" s="2" t="s">
        <v>1141</v>
      </c>
      <c r="W150" s="2"/>
      <c r="X150" t="s">
        <v>1142</v>
      </c>
      <c r="Y150" s="2" t="s">
        <v>23</v>
      </c>
      <c r="Z150" s="2" t="s">
        <v>24</v>
      </c>
      <c r="AA150" s="2"/>
      <c r="AB150" s="2" t="s">
        <v>25</v>
      </c>
      <c r="AC150" s="2" t="s">
        <v>1143</v>
      </c>
    </row>
    <row r="151" spans="1:30" ht="225" x14ac:dyDescent="0.25">
      <c r="A151" s="2" t="s">
        <v>1165</v>
      </c>
      <c r="B151" s="2" t="s">
        <v>1166</v>
      </c>
      <c r="C151" s="2">
        <v>1995</v>
      </c>
      <c r="D151" s="2" t="s">
        <v>388</v>
      </c>
      <c r="E151" s="2"/>
      <c r="F151" s="2" t="s">
        <v>1167</v>
      </c>
      <c r="G151" s="2"/>
      <c r="H151" s="2">
        <v>137</v>
      </c>
      <c r="I151" s="2">
        <v>155</v>
      </c>
      <c r="J151" s="2">
        <v>18</v>
      </c>
      <c r="K151" s="2">
        <v>18</v>
      </c>
      <c r="L151" s="2" t="s">
        <v>1168</v>
      </c>
      <c r="M151" s="12" t="s">
        <v>1169</v>
      </c>
      <c r="N151" s="14" t="s">
        <v>1170</v>
      </c>
      <c r="O151" s="2" t="s">
        <v>1351</v>
      </c>
      <c r="P151" s="2" t="s">
        <v>1350</v>
      </c>
      <c r="Q151" s="2"/>
      <c r="R151" s="2"/>
      <c r="S151" s="2"/>
      <c r="T151" s="2"/>
      <c r="U151" s="2"/>
      <c r="V151" s="2"/>
      <c r="W151" s="2" t="s">
        <v>1171</v>
      </c>
      <c r="Y151" s="2" t="s">
        <v>29</v>
      </c>
      <c r="Z151" s="2" t="s">
        <v>24</v>
      </c>
      <c r="AA151" s="2"/>
      <c r="AB151" s="2" t="s">
        <v>25</v>
      </c>
      <c r="AC151" s="2" t="s">
        <v>1172</v>
      </c>
    </row>
    <row r="152" spans="1:30" ht="60" x14ac:dyDescent="0.25">
      <c r="A152" s="2" t="s">
        <v>1182</v>
      </c>
      <c r="B152" s="2" t="s">
        <v>1412</v>
      </c>
      <c r="C152" s="2">
        <v>1995</v>
      </c>
      <c r="D152" s="2" t="s">
        <v>1413</v>
      </c>
      <c r="E152" s="2"/>
      <c r="F152" s="2"/>
      <c r="G152" s="2"/>
      <c r="H152" s="2"/>
      <c r="I152" s="2"/>
      <c r="J152" s="2"/>
      <c r="K152" s="2"/>
      <c r="L152" s="2"/>
      <c r="M152" s="12"/>
      <c r="N152" s="14"/>
      <c r="O152" s="2" t="s">
        <v>1351</v>
      </c>
      <c r="P152" s="2" t="s">
        <v>1350</v>
      </c>
      <c r="Q152" s="2"/>
      <c r="R152" s="2"/>
      <c r="S152" s="2"/>
      <c r="T152" s="2"/>
      <c r="U152" s="2"/>
      <c r="V152" s="2"/>
      <c r="W152" s="2"/>
      <c r="Y152" s="2"/>
      <c r="Z152" s="2"/>
      <c r="AA152" s="2"/>
      <c r="AB152" s="2"/>
      <c r="AC152" s="2"/>
    </row>
    <row r="153" spans="1:30" ht="165" x14ac:dyDescent="0.25">
      <c r="A153" s="2" t="s">
        <v>1182</v>
      </c>
      <c r="B153" s="2" t="s">
        <v>1183</v>
      </c>
      <c r="C153" s="2">
        <v>1995</v>
      </c>
      <c r="D153" s="2" t="s">
        <v>120</v>
      </c>
      <c r="E153" s="2"/>
      <c r="F153" s="2" t="s">
        <v>28</v>
      </c>
      <c r="G153" s="2"/>
      <c r="H153" s="2">
        <v>595</v>
      </c>
      <c r="I153" s="2">
        <v>606</v>
      </c>
      <c r="J153" s="2">
        <v>11</v>
      </c>
      <c r="K153" s="2">
        <v>3</v>
      </c>
      <c r="L153" s="2"/>
      <c r="M153" s="12" t="s">
        <v>1184</v>
      </c>
      <c r="N153" s="14" t="s">
        <v>1185</v>
      </c>
      <c r="O153" s="2" t="s">
        <v>1351</v>
      </c>
      <c r="P153" s="2" t="s">
        <v>1351</v>
      </c>
      <c r="Q153" s="2"/>
      <c r="R153" s="2"/>
      <c r="S153" s="2" t="s">
        <v>1452</v>
      </c>
      <c r="T153" s="2"/>
      <c r="U153" s="2" t="s">
        <v>1373</v>
      </c>
      <c r="V153" s="2"/>
      <c r="W153" s="2" t="s">
        <v>1186</v>
      </c>
      <c r="Y153" s="2" t="s">
        <v>29</v>
      </c>
      <c r="Z153" s="2" t="s">
        <v>24</v>
      </c>
      <c r="AA153" s="2"/>
      <c r="AB153" s="2" t="s">
        <v>25</v>
      </c>
      <c r="AC153" s="2" t="s">
        <v>1187</v>
      </c>
    </row>
    <row r="154" spans="1:30" ht="210" x14ac:dyDescent="0.25">
      <c r="A154" s="2" t="s">
        <v>1173</v>
      </c>
      <c r="B154" s="2" t="s">
        <v>1174</v>
      </c>
      <c r="C154" s="2">
        <v>1993</v>
      </c>
      <c r="D154" s="2" t="s">
        <v>1175</v>
      </c>
      <c r="E154" s="2"/>
      <c r="F154" s="2" t="s">
        <v>1176</v>
      </c>
      <c r="G154" s="2"/>
      <c r="H154" s="2">
        <v>125</v>
      </c>
      <c r="I154" s="2"/>
      <c r="J154" s="2"/>
      <c r="K154" s="2">
        <v>0</v>
      </c>
      <c r="L154" s="2"/>
      <c r="M154" s="2" t="s">
        <v>1177</v>
      </c>
      <c r="N154" s="11" t="s">
        <v>1178</v>
      </c>
      <c r="O154" s="2"/>
      <c r="P154" s="2"/>
      <c r="Q154" s="2"/>
      <c r="R154" s="2"/>
      <c r="S154" s="2"/>
      <c r="T154" s="2" t="s">
        <v>1371</v>
      </c>
      <c r="U154" s="2"/>
      <c r="V154" s="2"/>
      <c r="W154" s="2" t="s">
        <v>1179</v>
      </c>
      <c r="Y154" s="2" t="s">
        <v>1180</v>
      </c>
      <c r="Z154" s="2" t="s">
        <v>24</v>
      </c>
      <c r="AA154" s="2"/>
      <c r="AB154" s="2" t="s">
        <v>25</v>
      </c>
      <c r="AC154" s="2" t="s">
        <v>1181</v>
      </c>
    </row>
    <row r="155" spans="1:30" s="2" customFormat="1" ht="105" x14ac:dyDescent="0.25">
      <c r="A155" s="2" t="s">
        <v>1158</v>
      </c>
      <c r="B155" s="2" t="s">
        <v>1159</v>
      </c>
      <c r="C155" s="2">
        <v>1991</v>
      </c>
      <c r="D155" s="2" t="s">
        <v>1160</v>
      </c>
      <c r="H155" s="2">
        <v>673</v>
      </c>
      <c r="I155" s="2">
        <v>682</v>
      </c>
      <c r="J155" s="2">
        <v>9</v>
      </c>
      <c r="K155" s="2">
        <v>0</v>
      </c>
      <c r="M155" s="12" t="s">
        <v>1161</v>
      </c>
      <c r="N155" s="14" t="s">
        <v>1162</v>
      </c>
      <c r="O155" s="2" t="s">
        <v>1351</v>
      </c>
      <c r="P155" s="2" t="s">
        <v>1350</v>
      </c>
      <c r="W155" s="2" t="s">
        <v>1163</v>
      </c>
      <c r="X155"/>
      <c r="Y155" s="2" t="s">
        <v>29</v>
      </c>
      <c r="Z155" s="2" t="s">
        <v>24</v>
      </c>
      <c r="AB155" s="2" t="s">
        <v>25</v>
      </c>
      <c r="AC155" s="2" t="s">
        <v>1164</v>
      </c>
      <c r="AD155" s="2" t="s">
        <v>1387</v>
      </c>
    </row>
    <row r="156" spans="1:30" s="2" customFormat="1" ht="135" x14ac:dyDescent="0.25">
      <c r="A156" s="2" t="s">
        <v>1221</v>
      </c>
      <c r="B156" s="2" t="s">
        <v>1222</v>
      </c>
      <c r="C156" s="2">
        <v>1989</v>
      </c>
      <c r="D156" s="2" t="s">
        <v>1223</v>
      </c>
      <c r="F156" s="2" t="s">
        <v>1224</v>
      </c>
      <c r="J156" s="2">
        <v>106</v>
      </c>
      <c r="K156" s="2">
        <v>0</v>
      </c>
      <c r="M156" s="12" t="s">
        <v>1225</v>
      </c>
      <c r="N156" s="14" t="s">
        <v>1226</v>
      </c>
      <c r="O156" s="2" t="s">
        <v>1351</v>
      </c>
      <c r="P156" s="2" t="s">
        <v>1350</v>
      </c>
      <c r="W156" s="2" t="s">
        <v>1227</v>
      </c>
      <c r="X156"/>
      <c r="Y156" s="2" t="s">
        <v>1180</v>
      </c>
      <c r="Z156" s="2" t="s">
        <v>24</v>
      </c>
      <c r="AB156" s="2" t="s">
        <v>25</v>
      </c>
      <c r="AC156" s="2" t="s">
        <v>1228</v>
      </c>
      <c r="AD156" s="2" t="s">
        <v>1398</v>
      </c>
    </row>
    <row r="157" spans="1:30" s="2" customFormat="1" ht="120" x14ac:dyDescent="0.25">
      <c r="A157" s="2" t="s">
        <v>1330</v>
      </c>
      <c r="B157" s="2" t="s">
        <v>1331</v>
      </c>
      <c r="C157" s="2">
        <v>1985</v>
      </c>
      <c r="D157" s="2" t="s">
        <v>120</v>
      </c>
      <c r="E157" s="2" t="s">
        <v>1046</v>
      </c>
      <c r="F157" s="2" t="s">
        <v>1332</v>
      </c>
      <c r="H157" s="2">
        <v>322</v>
      </c>
      <c r="I157" s="2">
        <v>342</v>
      </c>
      <c r="J157" s="2">
        <v>20</v>
      </c>
      <c r="K157" s="2">
        <v>12</v>
      </c>
      <c r="M157" s="12" t="s">
        <v>1333</v>
      </c>
      <c r="N157" s="14" t="s">
        <v>1334</v>
      </c>
      <c r="O157" s="2" t="s">
        <v>1351</v>
      </c>
      <c r="P157" s="2" t="s">
        <v>1351</v>
      </c>
      <c r="Q157" s="2" t="s">
        <v>1371</v>
      </c>
      <c r="W157" s="2" t="s">
        <v>1335</v>
      </c>
      <c r="X157"/>
      <c r="Y157" s="2" t="s">
        <v>29</v>
      </c>
      <c r="Z157" s="2" t="s">
        <v>24</v>
      </c>
      <c r="AB157" s="2" t="s">
        <v>25</v>
      </c>
      <c r="AC157" s="2" t="s">
        <v>1336</v>
      </c>
      <c r="AD157" s="2" t="s">
        <v>1399</v>
      </c>
    </row>
    <row r="158" spans="1:30" s="2" customFormat="1" ht="210" x14ac:dyDescent="0.25">
      <c r="A158" s="2" t="s">
        <v>1203</v>
      </c>
      <c r="B158" s="2" t="s">
        <v>1204</v>
      </c>
      <c r="C158" s="2">
        <v>1982</v>
      </c>
      <c r="D158" s="2" t="s">
        <v>388</v>
      </c>
      <c r="E158" s="2" t="s">
        <v>1205</v>
      </c>
      <c r="H158" s="2">
        <v>223</v>
      </c>
      <c r="I158" s="2">
        <v>233</v>
      </c>
      <c r="J158" s="2">
        <v>10</v>
      </c>
      <c r="K158" s="2">
        <v>3</v>
      </c>
      <c r="L158" s="2" t="s">
        <v>1206</v>
      </c>
      <c r="M158" s="2" t="s">
        <v>1207</v>
      </c>
      <c r="N158" s="4" t="s">
        <v>1208</v>
      </c>
      <c r="V158" s="2" t="s">
        <v>1209</v>
      </c>
      <c r="W158" s="2" t="s">
        <v>1210</v>
      </c>
      <c r="X158" t="s">
        <v>1211</v>
      </c>
      <c r="Y158" s="2" t="s">
        <v>29</v>
      </c>
      <c r="Z158" s="2" t="s">
        <v>24</v>
      </c>
      <c r="AA158" s="2" t="s">
        <v>41</v>
      </c>
      <c r="AB158" s="2" t="s">
        <v>25</v>
      </c>
      <c r="AC158" s="2" t="s">
        <v>1212</v>
      </c>
      <c r="AD158" s="2" t="s">
        <v>1411</v>
      </c>
    </row>
  </sheetData>
  <autoFilter ref="A1:AC158" xr:uid="{00000000-0001-0000-0000-000000000000}">
    <sortState xmlns:xlrd2="http://schemas.microsoft.com/office/spreadsheetml/2017/richdata2" ref="A2:AC158">
      <sortCondition descending="1" ref="C1:C154"/>
    </sortState>
  </autoFilter>
  <hyperlinks>
    <hyperlink ref="M61" r:id="rId1" xr:uid="{A1E24BB5-B01F-45A6-B412-87EA9762DED1}"/>
    <hyperlink ref="M102" r:id="rId2" xr:uid="{C11EF9F5-EA88-4E68-BEBB-FA45FDBBD4F0}"/>
    <hyperlink ref="M103" r:id="rId3" xr:uid="{2688EB6F-2BEA-4E44-B963-F453A266BAA5}"/>
    <hyperlink ref="M104" r:id="rId4" xr:uid="{D52B1289-33FE-44E1-ADB4-868B54869D44}"/>
    <hyperlink ref="M106" r:id="rId5" xr:uid="{A05A6B41-35B5-434F-BC8E-0A3EBB78CA49}"/>
    <hyperlink ref="M105" r:id="rId6" xr:uid="{E4AE8423-3643-4DB0-931A-F61B983A9D7D}"/>
    <hyperlink ref="M107" r:id="rId7" xr:uid="{2A9C2E29-5E51-464C-A1B7-DD23D1E0C15A}"/>
    <hyperlink ref="M114" r:id="rId8" xr:uid="{B94EE924-5A7C-441C-A051-FB70547D8196}"/>
    <hyperlink ref="M115" r:id="rId9" xr:uid="{CA392B0D-EFF9-4591-83F5-B74B86ADF1E9}"/>
    <hyperlink ref="M116" r:id="rId10" xr:uid="{0645D977-71E4-4461-BC03-0B0095A6B7EE}"/>
    <hyperlink ref="M126" r:id="rId11" xr:uid="{B17A7E3E-4EAA-41B8-9E3B-2A19326F3E13}"/>
    <hyperlink ref="M135" r:id="rId12" xr:uid="{9ED05E54-05A7-4322-850C-A1760681AF11}"/>
    <hyperlink ref="M144" r:id="rId13" xr:uid="{99767F19-B33A-4D89-8FF8-F3949670BE86}"/>
    <hyperlink ref="M145" r:id="rId14" xr:uid="{E31BBC62-34F9-489B-A31A-719B463F3CA2}"/>
    <hyperlink ref="M146" r:id="rId15" xr:uid="{43850EDC-C34B-4F6E-B33C-D5A277A8FB26}"/>
    <hyperlink ref="M15" r:id="rId16" xr:uid="{AC5F398E-8E19-4FCE-982F-41FDACA0E43D}"/>
    <hyperlink ref="M16" r:id="rId17" xr:uid="{3392558E-EA72-43E8-89BF-A2B8705E749D}"/>
    <hyperlink ref="M18" r:id="rId18" xr:uid="{75149D18-E042-41E3-B5D4-1E364A6FD81A}"/>
    <hyperlink ref="M20" r:id="rId19" xr:uid="{64AD1F1D-9B9C-4727-BCB8-CC76FBD1CEBB}"/>
    <hyperlink ref="M22" r:id="rId20" xr:uid="{0D8A8DA6-6325-446B-8140-7B78B1C840A6}"/>
    <hyperlink ref="M28" r:id="rId21" xr:uid="{6687DF5F-5645-4D6E-B69F-EF53D0464688}"/>
    <hyperlink ref="M29" r:id="rId22" xr:uid="{BCFA4A02-922D-40D7-87B6-600BC3DBBA08}"/>
    <hyperlink ref="M30" r:id="rId23" xr:uid="{ADF5BB4C-AAF0-435D-97CD-CF88C216173F}"/>
    <hyperlink ref="M31" r:id="rId24" xr:uid="{52833A6B-80FC-4EAE-A4E6-FA6E656B15E4}"/>
    <hyperlink ref="M41" r:id="rId25" xr:uid="{43268BB8-D20A-4C61-99B2-F94E5B2F28AC}"/>
    <hyperlink ref="M45" r:id="rId26" xr:uid="{577C79A1-B8AE-4708-8F7A-C1CA8D111B92}"/>
    <hyperlink ref="M53" r:id="rId27" xr:uid="{19A8A4DE-801D-459E-AB5C-392B4841EEFB}"/>
    <hyperlink ref="M55" r:id="rId28" xr:uid="{46505612-EC7B-4EA5-985E-B1C3F3B0CAD1}"/>
    <hyperlink ref="M56" r:id="rId29" xr:uid="{F3849D8D-347F-41A4-A81B-E91ECF513153}"/>
    <hyperlink ref="M60" r:id="rId30" xr:uid="{A327452B-2430-400A-BAE1-6E837BF59845}"/>
    <hyperlink ref="M62" r:id="rId31" xr:uid="{4DEA355D-07D2-4121-A3D4-83B962BA6E52}"/>
    <hyperlink ref="M65" r:id="rId32" xr:uid="{5DC8B832-BB8C-450C-A137-884B9E5007DC}"/>
    <hyperlink ref="M66" r:id="rId33" xr:uid="{4B098BCB-9399-4057-8AB2-09A2B0BBA987}"/>
    <hyperlink ref="M67" r:id="rId34" xr:uid="{D1174548-84D0-4D21-9683-B4C0E92E1137}"/>
    <hyperlink ref="M68" r:id="rId35" xr:uid="{C1836CDF-2880-43E8-ADB9-C8462024D46E}"/>
    <hyperlink ref="M70" r:id="rId36" xr:uid="{19C7F442-B1A0-436D-BDBC-13B16196E49E}"/>
    <hyperlink ref="M71" r:id="rId37" xr:uid="{90D94C2D-DEBF-44F1-976D-F10247D5BCA9}"/>
    <hyperlink ref="M72" r:id="rId38" xr:uid="{7C89C9AA-AC79-4D00-B471-ED662097A586}"/>
    <hyperlink ref="M75" r:id="rId39" xr:uid="{7ADBC298-3CE1-4C27-8629-CD33AEF1B03D}"/>
    <hyperlink ref="M76" r:id="rId40" xr:uid="{BCEBF5B4-CBEA-43C5-B489-DFDD9E3B910D}"/>
    <hyperlink ref="M77" r:id="rId41" xr:uid="{4158F7D9-E663-4527-86FC-819B6A96540A}"/>
    <hyperlink ref="M80" r:id="rId42" xr:uid="{956AB01D-1A3C-4135-8248-DAF541EEF03C}"/>
    <hyperlink ref="M84" r:id="rId43" xr:uid="{9CD696B7-3172-49CE-BD1E-33C47F47BC50}"/>
    <hyperlink ref="M86" r:id="rId44" xr:uid="{F2B5BF4F-1B1B-461C-88E7-B97AC0493135}"/>
    <hyperlink ref="M88" r:id="rId45" xr:uid="{5EA40A8D-9832-4E4E-8B69-B313F756DA72}"/>
    <hyperlink ref="M89" r:id="rId46" xr:uid="{13BF10DB-6100-413A-B568-DF785311C5BE}"/>
    <hyperlink ref="M93" r:id="rId47" xr:uid="{5836F3BE-41B4-492A-B106-26999528F217}"/>
    <hyperlink ref="M96" r:id="rId48" xr:uid="{EF8E6340-F3E0-4C0F-ADB6-ED300C817E6E}"/>
    <hyperlink ref="M97" r:id="rId49" xr:uid="{8A9D6F99-6DD1-4C81-9CD5-A3298A1E066A}"/>
    <hyperlink ref="M100" r:id="rId50" xr:uid="{8B550AC0-3AEB-4452-AED0-CBB3C05BC5FE}"/>
    <hyperlink ref="M101" r:id="rId51" xr:uid="{D01712E6-0A2C-44C4-B7D9-5F71F53C45EF}"/>
    <hyperlink ref="M109" r:id="rId52" xr:uid="{41D5153D-D4F8-4F7E-9D73-6E7377ACFE2E}"/>
    <hyperlink ref="M111" r:id="rId53" xr:uid="{845D0BC6-22ED-4E7C-803C-F58418885726}"/>
    <hyperlink ref="M113" r:id="rId54" xr:uid="{911EBB90-4FBB-4C15-BB66-A6B733F3FD09}"/>
    <hyperlink ref="M117" r:id="rId55" xr:uid="{DE000563-AFAB-4361-809F-6925EB83D14F}"/>
    <hyperlink ref="M121" r:id="rId56" xr:uid="{3E89BD95-2E34-449F-98AC-9E151C70CCE9}"/>
    <hyperlink ref="M122" r:id="rId57" xr:uid="{EFB645D9-0016-4593-B22F-20241C9BF135}"/>
    <hyperlink ref="M124" r:id="rId58" xr:uid="{98E22622-D690-4356-B274-84DD53843618}"/>
    <hyperlink ref="M125" r:id="rId59" xr:uid="{8823BCED-82F3-408D-AADB-BF16C15D2153}"/>
    <hyperlink ref="M128" r:id="rId60" xr:uid="{1466BD5D-9176-42A4-9733-F2C755363B3D}"/>
    <hyperlink ref="M130" r:id="rId61" xr:uid="{04628F56-3EFA-4622-BBC0-00651127F63A}"/>
    <hyperlink ref="M131" r:id="rId62" xr:uid="{48ACDCDA-D5C0-4EA4-A0DC-4B8E6D7176DA}"/>
    <hyperlink ref="M134" r:id="rId63" xr:uid="{1B083E94-5867-4FCF-ABA3-182092756D3F}"/>
    <hyperlink ref="M138" r:id="rId64" xr:uid="{6C3FC361-983F-4197-80AF-C5EA660A53AA}"/>
    <hyperlink ref="M140" r:id="rId65" xr:uid="{3926DB91-E470-46E0-8A4C-D30BC9AD44DE}"/>
    <hyperlink ref="M142" r:id="rId66" xr:uid="{2AA62484-8A08-4BC8-AF67-CCCD19D00D35}"/>
    <hyperlink ref="M143" r:id="rId67" xr:uid="{97EF546C-9034-4A65-842B-E3886007853F}"/>
    <hyperlink ref="M149" r:id="rId68" xr:uid="{2BA145CC-E34C-4C6B-A669-2F3C603BD3EC}"/>
    <hyperlink ref="M150" r:id="rId69" xr:uid="{C9F89785-A38C-4B30-9FD3-FDA42A6B02F9}"/>
    <hyperlink ref="M151" r:id="rId70" xr:uid="{92795430-2733-4A0B-B31E-AE139091888F}"/>
    <hyperlink ref="M153" r:id="rId71" xr:uid="{F49B3664-0651-4824-8765-BD25CE2D38AA}"/>
    <hyperlink ref="M155" r:id="rId72" xr:uid="{FC4C2E9E-EC54-464F-BC92-EE74BAD8F94B}"/>
    <hyperlink ref="M156" r:id="rId73" xr:uid="{9768145C-FC84-4E29-8F40-90139AC34DA3}"/>
    <hyperlink ref="M157" r:id="rId74" xr:uid="{7FC5118D-2059-41D3-A8EE-CABB0BCA4B07}"/>
    <hyperlink ref="M137" r:id="rId75" xr:uid="{0E97785A-185A-436F-8BCA-C4EC08AA0BB2}"/>
    <hyperlink ref="M85" r:id="rId76" xr:uid="{422E6D69-3609-40E8-A18E-3AD53688384A}"/>
    <hyperlink ref="M14" r:id="rId77" xr:uid="{EF00E9C4-39D6-4E3D-9934-AD76BFD716C6}"/>
    <hyperlink ref="M148" r:id="rId78" xr:uid="{1307E4C9-DFEC-494D-8A08-C74B375934CF}"/>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5</vt:i4>
      </vt:variant>
    </vt:vector>
  </HeadingPairs>
  <TitlesOfParts>
    <vt:vector size="5" baseType="lpstr">
      <vt:lpstr>Cleaned for Lit Review</vt:lpstr>
      <vt:lpstr>Topics</vt:lpstr>
      <vt:lpstr>PHD and Master thesises to read</vt:lpstr>
      <vt:lpstr>Tabelle3</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Sarkany, Andreas</cp:lastModifiedBy>
  <dcterms:created xsi:type="dcterms:W3CDTF">2025-02-21T14:46:00Z</dcterms:created>
  <dcterms:modified xsi:type="dcterms:W3CDTF">2026-05-19T13:54:43Z</dcterms:modified>
</cp:coreProperties>
</file>