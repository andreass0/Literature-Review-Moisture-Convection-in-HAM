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wienacat-my.sharepoint.com/personal/andreas_sarkany_tuwien_ac_at/Documents/Desktop/Literature Data for Repo/"/>
    </mc:Choice>
  </mc:AlternateContent>
  <xr:revisionPtr revIDLastSave="957" documentId="13_ncr:1_{056EF768-BD73-4C0C-85A1-482CCF8E85DD}" xr6:coauthVersionLast="47" xr6:coauthVersionMax="47" xr10:uidLastSave="{4BCD0FB1-75A0-4180-89C9-D812DEE4AE33}"/>
  <bookViews>
    <workbookView xWindow="28680" yWindow="-120" windowWidth="29040" windowHeight="15720" xr2:uid="{B3DE9CB1-1665-498D-AF87-D57F1901F0D3}"/>
  </bookViews>
  <sheets>
    <sheet name="Models" sheetId="1" r:id="rId1"/>
    <sheet name="PHD and Master thesises to read" sheetId="2" r:id="rId2"/>
    <sheet name="Keywords" sheetId="3" r:id="rId3"/>
  </sheets>
  <definedNames>
    <definedName name="_xlnm._FilterDatabase" localSheetId="0" hidden="1">Models!$A$1:$M$57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" i="1"/>
  <c r="F53" i="1"/>
  <c r="F57" i="1"/>
  <c r="F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4" i="1"/>
  <c r="F55" i="1"/>
  <c r="F2" i="1"/>
  <c r="F56" i="1"/>
</calcChain>
</file>

<file path=xl/sharedStrings.xml><?xml version="1.0" encoding="utf-8"?>
<sst xmlns="http://schemas.openxmlformats.org/spreadsheetml/2006/main" count="574" uniqueCount="206">
  <si>
    <t>Paper/Thesis</t>
  </si>
  <si>
    <t>Author</t>
  </si>
  <si>
    <t>Year</t>
  </si>
  <si>
    <t>Dimensions</t>
  </si>
  <si>
    <t>System investigated</t>
  </si>
  <si>
    <t>Properties</t>
  </si>
  <si>
    <t>TenWolde A.</t>
  </si>
  <si>
    <t>STEADY-STATE ONE-DIMENSIONAL WATER VAPOR MOVEMENT BY DIFFUSION AND CONVECTION IN A MULTILAYERED WALL.</t>
  </si>
  <si>
    <t>Finch G.; Straube J.</t>
  </si>
  <si>
    <t>Ventilated wall claddings: Review, field performance, and hygrothermal modeling</t>
  </si>
  <si>
    <t>Grunewald J.; Nicolai A.; Zhang J.</t>
  </si>
  <si>
    <t>Modeling of air convection effects on hygrothermal performance of vented roofs</t>
  </si>
  <si>
    <t>Karagiozis A.N.; Kuenzel H.M.</t>
  </si>
  <si>
    <t>The effect of air cavity convection on the wetting and drying behavior of wood-frame walls using a multi-physics approach</t>
  </si>
  <si>
    <t>Langmans J.; Nicolai A.; Klein R.; Roels S.</t>
  </si>
  <si>
    <t>A quasi-steady state implementation of air convection in a transient heat and moisture building component model</t>
  </si>
  <si>
    <t>1D</t>
  </si>
  <si>
    <t>2D</t>
  </si>
  <si>
    <t>Software</t>
  </si>
  <si>
    <t>Belleudy</t>
  </si>
  <si>
    <t>Medium</t>
  </si>
  <si>
    <t>Air</t>
  </si>
  <si>
    <t>Wall</t>
  </si>
  <si>
    <t>Roof</t>
  </si>
  <si>
    <t>Ventilated Cladding</t>
  </si>
  <si>
    <t>Exponential solution to 1D diff-convection equation</t>
  </si>
  <si>
    <t>Laplace Equation, Darcy-Brinkman Extension</t>
  </si>
  <si>
    <t>HM</t>
  </si>
  <si>
    <t>HAM</t>
  </si>
  <si>
    <t>MOISTWALL</t>
  </si>
  <si>
    <t>WUFI 4.1</t>
  </si>
  <si>
    <t>Integrated modeling of dynamic heat, air and moisture processes in buildings and systems using SimuLink and COMSOL</t>
  </si>
  <si>
    <t>Schijndel</t>
  </si>
  <si>
    <t>3D</t>
  </si>
  <si>
    <t>Vented Roofs</t>
  </si>
  <si>
    <t>Darcy</t>
  </si>
  <si>
    <t>COMSOL+SIMULINK</t>
  </si>
  <si>
    <t>Belleudy C.; Woloszyn M.; Chhay M.; Cosnier M.</t>
  </si>
  <si>
    <t>A 2D model for coupled heat, air, and moisture transfer through porous media in contact with air channels</t>
  </si>
  <si>
    <t>Laplace Equation, Darcy Law, Poiseuille Law</t>
  </si>
  <si>
    <t>HAM-Lea</t>
  </si>
  <si>
    <t>Pallin S.; Hun D.; Boudreaux P.</t>
  </si>
  <si>
    <t>Simulating air leakage in walls and roofs using indoor and outdoor boundary conditions</t>
  </si>
  <si>
    <t>Hurel</t>
  </si>
  <si>
    <t>Derome</t>
  </si>
  <si>
    <t>Desmarais</t>
  </si>
  <si>
    <t>Janetti</t>
  </si>
  <si>
    <t>Jannssens</t>
  </si>
  <si>
    <t>Wang L.; Ge H.</t>
  </si>
  <si>
    <t>Effect of air leakage on the hygrothermal performance of highly insulated wood frame walls: Comparison of air leakage modelling methods</t>
  </si>
  <si>
    <t>Wegerer P.; Bednar T.</t>
  </si>
  <si>
    <t>Hygrothermal performance of wooden beam heads in inside insulated walls considering air flows</t>
  </si>
  <si>
    <t>HAM4D_VIE</t>
  </si>
  <si>
    <t>Lee I.; Roppel P.; Lawton M.; Ferreira P.</t>
  </si>
  <si>
    <t>Design limits for framed wall assemblies dependent on material choices for sheathing membranes and exterior insulation</t>
  </si>
  <si>
    <t>DELPHIN</t>
  </si>
  <si>
    <t>Air Path, Power Law.</t>
  </si>
  <si>
    <t>Laukkarinen A.; Jokela T.; Moisio T.; Vinha J.</t>
  </si>
  <si>
    <t>Hygrothermal simulations of timber-framed walls with air leakages</t>
  </si>
  <si>
    <t>Asphaug S.K.; Andenæs E.; Geving S.; Time B.; Kvande T.</t>
  </si>
  <si>
    <t>Moisture-resilient performance of concrete basement walls – Numerical simulations of the effect of outward drying</t>
  </si>
  <si>
    <t>Lomp S.; Kalbe K.; Kalamees T.</t>
  </si>
  <si>
    <t>MOISTURE DRYING CAPACITY OF MINERAL WOOL INSULATED STEEL-FACED SANDWICH PANELS BY CONVECTION</t>
  </si>
  <si>
    <t>NS Equations</t>
  </si>
  <si>
    <t>COMSOL</t>
  </si>
  <si>
    <t>WUFIPro</t>
  </si>
  <si>
    <t>Chen X., Chun Q., Van Den Bossche N.</t>
  </si>
  <si>
    <t>Hygrothermal Performance of Traditional Chinese Cavity Walls: Accounting for Complex Cavity Geometry in Non-vented Cavities</t>
  </si>
  <si>
    <t>Equivalent Resistance</t>
  </si>
  <si>
    <t>HAM;</t>
  </si>
  <si>
    <t>Chen X., Chun Q., Den Bossche N.V.</t>
  </si>
  <si>
    <t>Thermal performance of traditional cavity walls: Accounting for complex cavity geometry and bonding variability</t>
  </si>
  <si>
    <t>Ojanen Tuomo; Kohonen Reijo</t>
  </si>
  <si>
    <t>Effect of air convection on the hygrothermal performance of building structures; [Ilmavirtausten vaikutus rakenteiden lampo- ja kosteustekniseen toimintaan]</t>
  </si>
  <si>
    <t>TCCC2D</t>
  </si>
  <si>
    <t>Salonvaara M.H.; Karagiozis A.N.</t>
  </si>
  <si>
    <t>EIFS hygrothermal performance due to initial construction moisture as a function of air leakage, interior cavity insulation, and climate conditions</t>
  </si>
  <si>
    <t>Ojanen Tuomo; Kohonen Reijo O.</t>
  </si>
  <si>
    <t>Numerical simulation of heat, air, and moisture transfer in building structures</t>
  </si>
  <si>
    <t xml:space="preserve">LATENITE </t>
  </si>
  <si>
    <t>Porous</t>
  </si>
  <si>
    <t>Stovall T.K.; Karagiozis A.</t>
  </si>
  <si>
    <t>Airflow in the ventilation space behind a rain screen wall</t>
  </si>
  <si>
    <t>Jablonka M.; Karagiozis A.</t>
  </si>
  <si>
    <t>Hygrothermal performance testing of wall assemblies employing a three-dimensional weather-resistive barrier and drainage membrane</t>
  </si>
  <si>
    <t>Porous+Air</t>
  </si>
  <si>
    <t>Auer D.; Karagiozis A.N.; Desjarlais A.</t>
  </si>
  <si>
    <t>A comprehensive hygrothermal investigation of an unvented energy-efficient roof assembly in the Pacific Northwest</t>
  </si>
  <si>
    <t>NS</t>
  </si>
  <si>
    <t>Developing a design protocol for low air and vapour permeance insulating sheathing in cold climates</t>
  </si>
  <si>
    <t>Brown W.C.; Roppel P.; Lawton M.</t>
  </si>
  <si>
    <t>Power Law</t>
  </si>
  <si>
    <t>Kan L.; Piñon J.P.</t>
  </si>
  <si>
    <t>Predicting the effect of wall-cladding ventilation on condensation due to sun-driven moisture: Comparison of hygrothermal simulation with laboratory testing</t>
  </si>
  <si>
    <t>Geving S.; Holme J.</t>
  </si>
  <si>
    <t>Vapour retarders in wood frame walls and their effect on the drying capability</t>
  </si>
  <si>
    <t>Kalamees T.; Kurnitski J.</t>
  </si>
  <si>
    <t>Moisture convection performance of external walls and roofs</t>
  </si>
  <si>
    <t>CHAMPS-BES</t>
  </si>
  <si>
    <t>Saito H.; Miura H.; Kuwasawa Y.</t>
  </si>
  <si>
    <t>Study on hygrothermal performance related to vapor proofing and air tightness for wooden exterior walls: Requirements for exterior walls with fibrous insulation material</t>
  </si>
  <si>
    <t>Langmans J.; Roels S.</t>
  </si>
  <si>
    <t>What are the hygrothermal consequences of applying exterior air barriers in timber frame construction in Europe?</t>
  </si>
  <si>
    <t>Belleudy C.; Kayello A.; Woloszyn M.; Ge H.</t>
  </si>
  <si>
    <t>Experimental and numerical investigations of the effects of air leakage on temperature and moisture fields in porous insulation</t>
  </si>
  <si>
    <t>Watt D.; Sjöberg S.; Wahlgren P.</t>
  </si>
  <si>
    <t>Hygrothermal performance of a light weight timber wall assembly with an exterior air barrier</t>
  </si>
  <si>
    <t>Bianchi-Janetti M.; Gebauer R.; Ochs F.; Feist W.</t>
  </si>
  <si>
    <t>Numerical model for investigation of drying insulating-layers in floating floor screeds; [Modell zur numerischen Untersuchung der Trocknung in Estrichdämmschichten]</t>
  </si>
  <si>
    <t>Wall+Roof</t>
  </si>
  <si>
    <t>Floor</t>
  </si>
  <si>
    <t>Brinkman Gleichung</t>
  </si>
  <si>
    <t>Paepcke A.; Nicolai A.</t>
  </si>
  <si>
    <t>Performance analysis of coupled quasi-steady state air flow calculation and dynamic simulation of hygrothermal transport inside porous materials</t>
  </si>
  <si>
    <t>Stochastic modelling of hygrothermal performance of highly insulated wood framed walls</t>
  </si>
  <si>
    <t>Li Y.; Dang X.; Xia C.; Ma Y.; Ogura D.; Hokoi S.</t>
  </si>
  <si>
    <t>The effect of air leakage through the air cavities of building walls on mold growth risks</t>
  </si>
  <si>
    <t>Velocity as fixed boundary condtion</t>
  </si>
  <si>
    <t>Resilience of Canadian homes and small buildings to the effects of climate change - Risk of deterioration due to condensation within wall assemblies</t>
  </si>
  <si>
    <t>Defo M.; Lacasse M.</t>
  </si>
  <si>
    <t>Vanpachtenbeke M.; Langmans J.; Van den Bulcke J.; Van Acker J.; Roels S.</t>
  </si>
  <si>
    <t>Modelling moisture conditions behind brick veneer cladding: Verification of common approaches by field measurements</t>
  </si>
  <si>
    <t xml:space="preserve">HAM </t>
  </si>
  <si>
    <t>Salonvaara M.; Boudreaux P.; Desjarlais A.; Antretter F.; Werling E.</t>
  </si>
  <si>
    <t>Validation of Hygrothermal Simulations with Wall Performance Experiments in an Environmental Chamber</t>
  </si>
  <si>
    <t>ACH-Method</t>
  </si>
  <si>
    <t>Numerical simulation of heat, air, and moisture transfer through a wall of porous media</t>
  </si>
  <si>
    <t>Tesfamariam K.B.; Lin C.-X.; Liu F.</t>
  </si>
  <si>
    <t>Junginger M.; Defo M.; Moore T.; Lacasse M.A.; John V.M.</t>
  </si>
  <si>
    <t>Assessment of Moisture Performance of National Building Code Canada Compliant Wall Assemblies under Climate Change</t>
  </si>
  <si>
    <t>Mass Souce with Power Law</t>
  </si>
  <si>
    <t>Saber H.H.; Lacasse M.A.; Ganapathy G.; Plescia S.; Parekh A.</t>
  </si>
  <si>
    <t>Risk of condensation and mold growth in highly insulated wood frame walls</t>
  </si>
  <si>
    <t>Månhardt G.; Odén G.; Stockhaus M.; Wallentén P.</t>
  </si>
  <si>
    <t>Moisture safety in ventilated cathedral roofs</t>
  </si>
  <si>
    <t>ACH Model with variable ACH</t>
  </si>
  <si>
    <t>Defo M.; Wang L.; Lacasse M.A.; Moore T.V.</t>
  </si>
  <si>
    <t>Evaluation of Moisture Performance of Tall Wood Building Envelope under Climate Change in Different Canadian Climatic Regions</t>
  </si>
  <si>
    <t>Ye K.; Ge H.; Athienitis A.; Yang X.</t>
  </si>
  <si>
    <t>Hygrothermal Modeling of Building Integrated Photovoltaics in Low-Rise Wood-Frame Construction</t>
  </si>
  <si>
    <t>Sarkany A.; Lewis T.; Bednar T.; Grüner M.</t>
  </si>
  <si>
    <t>Hygrothermal Simulation - Modelling Air Flow along Gap-like 3D Paths in Building Components with Darcy’s Law</t>
  </si>
  <si>
    <t>Mirzabeigi S.; Zhang R.; Krietemeyer B.; Zhang J.“.</t>
  </si>
  <si>
    <t>Modeling the Effects of Panel Interfaces on Air-Tightness and Thermal Performance of an Integrated Whole-Building Energy Efficiency Retrofit Assembly</t>
  </si>
  <si>
    <t>Baros T.; Jaros P.; Baros M.; Vertal M.; Katunsky D.</t>
  </si>
  <si>
    <t>Refurbishment and Parametricism Case Study: “Sokel” (Stone Plinth)</t>
  </si>
  <si>
    <t>WUFI 2D</t>
  </si>
  <si>
    <t>Rahiminejad M.; Ghazi Wakili K.; Barat A.; Renfer C.</t>
  </si>
  <si>
    <t>Hygrothermal Performance Analysis of Wooden Basements under Critical Conditions</t>
  </si>
  <si>
    <t>Hurel N.; Woloszyn M.; Pailha M.; Moujalled B.</t>
  </si>
  <si>
    <t>Assessing the performance of infrared thermography and PIV methods to identify and characterize the air inlets and outlets in wall assemblies</t>
  </si>
  <si>
    <t>Brinkman + NS</t>
  </si>
  <si>
    <t>Delgadillo Buenrostro L.; Gosselin L.; Blanchet P.</t>
  </si>
  <si>
    <t>Hygrothermal response to air movements in wall junctions: Comparison between two numerical approaches and experiments</t>
  </si>
  <si>
    <t>Kronvall</t>
  </si>
  <si>
    <t>in Besitz?</t>
  </si>
  <si>
    <t>x</t>
  </si>
  <si>
    <t>Marincioni, V; Lorenzetti, F; Altamirano-Medina, H</t>
  </si>
  <si>
    <t>Parametric study on the hygrothermal performance of timber frame walls with external airtightness membranes in a temperate maritime climate</t>
  </si>
  <si>
    <t>Grunewald, J; Nicolai, A</t>
  </si>
  <si>
    <t>Air flow effects on the hygrothermal behaviour of lightweight wall assemblies</t>
  </si>
  <si>
    <t>Darcy und Kair Abschötzung</t>
  </si>
  <si>
    <t>airflow* OR "air flow*" OR "air-flow*"</t>
  </si>
  <si>
    <t>leakage*</t>
  </si>
  <si>
    <t>moisture</t>
  </si>
  <si>
    <t>AND</t>
  </si>
  <si>
    <t xml:space="preserve"> "airflow*" OR "air flow*" OR "air-flow*" </t>
  </si>
  <si>
    <t>hygrothermal OR "HAM" OR "ham"</t>
  </si>
  <si>
    <t>convection</t>
  </si>
  <si>
    <t>EXCLUDE</t>
  </si>
  <si>
    <t>"DENT"</t>
  </si>
  <si>
    <t>"ECON"</t>
  </si>
  <si>
    <t>"MEDI" </t>
  </si>
  <si>
    <t>AGRI" </t>
  </si>
  <si>
    <t>"BIOC"</t>
  </si>
  <si>
    <t>"Magnetohydrodynamics"</t>
  </si>
  <si>
    <t>Magnetic Field</t>
  </si>
  <si>
    <t>"Nanomagnetics"</t>
  </si>
  <si>
    <t>convection OR advection</t>
  </si>
  <si>
    <t>vapour OR vapor</t>
  </si>
  <si>
    <t>"AGRI"</t>
  </si>
  <si>
    <t>"PHAR" </t>
  </si>
  <si>
    <t>"ARTS"</t>
  </si>
  <si>
    <t>Searched in Title, Abstract and Keywords</t>
  </si>
  <si>
    <t>Trisco</t>
  </si>
  <si>
    <t>HAMLab</t>
  </si>
  <si>
    <t>hygIRC-C</t>
  </si>
  <si>
    <t>Unknown</t>
  </si>
  <si>
    <t>Welche Dekade?</t>
  </si>
  <si>
    <t>Line Source</t>
  </si>
  <si>
    <t>ACH-Method + influence of Temp and moisture gradient in z direction + Darcy+Boussinesq</t>
  </si>
  <si>
    <t>Detail System</t>
  </si>
  <si>
    <t>Detailed Method</t>
  </si>
  <si>
    <t>Method</t>
  </si>
  <si>
    <t>Air Infiltration</t>
  </si>
  <si>
    <t>Pipe Flow</t>
  </si>
  <si>
    <t>Model air path</t>
  </si>
  <si>
    <t>model source at point of condensation</t>
  </si>
  <si>
    <t>Brinkman</t>
  </si>
  <si>
    <t>dont</t>
  </si>
  <si>
    <t>Navier Stokes</t>
  </si>
  <si>
    <t>Brinkman + Navier Stokes</t>
  </si>
  <si>
    <t>Exponential Solution</t>
  </si>
  <si>
    <t>Air Infiltration Method</t>
  </si>
  <si>
    <t>Navier Stokes+Darcy</t>
  </si>
  <si>
    <t>MOIST.-EXP.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</si>
</sst>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2E2E2E"/>
      <name val="Arial"/>
      <family val="2"/>
    </font>
    <font>
      <sz val="11"/>
      <name val="Aptos Narrow"/>
      <family val="2"/>
      <scheme val="minor"/>
    </font>
    <font>
      <sz val="11"/>
      <color rgb="FFA5D6FF"/>
      <name val="Consolas"/>
      <family val="3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9</xdr:row>
      <xdr:rowOff>0</xdr:rowOff>
    </xdr:from>
    <xdr:to>
      <xdr:col>36</xdr:col>
      <xdr:colOff>573707</xdr:colOff>
      <xdr:row>16</xdr:row>
      <xdr:rowOff>47818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D72875B-AC3F-D767-C514-3046536EA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714500"/>
          <a:ext cx="15813707" cy="138131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35</xdr:col>
      <xdr:colOff>478337</xdr:colOff>
      <xdr:row>26</xdr:row>
      <xdr:rowOff>19212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3883D95-B288-5705-3260-7997BEB78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3810000"/>
          <a:ext cx="14956337" cy="116221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35</xdr:col>
      <xdr:colOff>745074</xdr:colOff>
      <xdr:row>35</xdr:row>
      <xdr:rowOff>47794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140938B-A303-D040-B071-7F2B27A34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5524500"/>
          <a:ext cx="15223074" cy="120984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35</xdr:col>
      <xdr:colOff>21073</xdr:colOff>
      <xdr:row>48</xdr:row>
      <xdr:rowOff>28822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1424B245-CCA1-658D-3C93-089D88862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0" y="7429500"/>
          <a:ext cx="14499073" cy="177189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35</xdr:col>
      <xdr:colOff>449758</xdr:colOff>
      <xdr:row>56</xdr:row>
      <xdr:rowOff>114456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B0A67671-BD99-3B4F-5B5F-965606306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9715500"/>
          <a:ext cx="14927758" cy="1114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053A-3EC6-42CC-928B-7A5F5AFD290C}">
  <dimension ref="A1:Q67"/>
  <sheetViews>
    <sheetView tabSelected="1" zoomScaleNormal="100" workbookViewId="0"/>
  </sheetViews>
  <sheetFormatPr baseColWidth="10" defaultRowHeight="15" x14ac:dyDescent="0.25"/>
  <cols>
    <col min="2" max="2" width="12.5703125" bestFit="1" customWidth="1"/>
    <col min="5" max="5" width="17.42578125" bestFit="1" customWidth="1"/>
    <col min="7" max="7" width="18.28515625" bestFit="1" customWidth="1"/>
    <col min="8" max="9" width="18.28515625" customWidth="1"/>
  </cols>
  <sheetData>
    <row r="1" spans="1:17" x14ac:dyDescent="0.25">
      <c r="A1" t="s">
        <v>1</v>
      </c>
      <c r="B1" t="s">
        <v>0</v>
      </c>
      <c r="C1" t="s">
        <v>2</v>
      </c>
      <c r="D1" s="10" t="s">
        <v>188</v>
      </c>
      <c r="E1" t="s">
        <v>3</v>
      </c>
      <c r="G1" t="s">
        <v>4</v>
      </c>
      <c r="H1" t="s">
        <v>191</v>
      </c>
      <c r="I1" t="s">
        <v>20</v>
      </c>
      <c r="J1" t="s">
        <v>193</v>
      </c>
      <c r="K1" t="s">
        <v>192</v>
      </c>
      <c r="L1" t="s">
        <v>5</v>
      </c>
      <c r="M1" t="s">
        <v>18</v>
      </c>
    </row>
    <row r="2" spans="1:17" ht="195" x14ac:dyDescent="0.25">
      <c r="A2" s="1" t="s">
        <v>6</v>
      </c>
      <c r="B2" s="1" t="s">
        <v>7</v>
      </c>
      <c r="C2" s="1">
        <v>1985</v>
      </c>
      <c r="D2" s="11" t="str">
        <f>INT(C2/10)*10 &amp; "s"</f>
        <v>1980s</v>
      </c>
      <c r="E2" t="s">
        <v>16</v>
      </c>
      <c r="F2" t="str">
        <f t="shared" ref="F2:F55" si="0">IF(E2="1D","Bulk",
IF(E2="x","","Local"))</f>
        <v>Bulk</v>
      </c>
      <c r="G2" s="1" t="s">
        <v>22</v>
      </c>
      <c r="H2" s="1"/>
      <c r="I2" s="1" t="s">
        <v>21</v>
      </c>
      <c r="J2" s="1" t="s">
        <v>202</v>
      </c>
      <c r="K2" s="1" t="s">
        <v>25</v>
      </c>
      <c r="L2" s="1" t="s">
        <v>27</v>
      </c>
      <c r="M2" s="1" t="s">
        <v>29</v>
      </c>
    </row>
    <row r="3" spans="1:17" ht="225" x14ac:dyDescent="0.25">
      <c r="A3" s="1" t="s">
        <v>72</v>
      </c>
      <c r="B3" s="1" t="s">
        <v>73</v>
      </c>
      <c r="C3" s="1">
        <v>1989</v>
      </c>
      <c r="D3" s="11" t="str">
        <f t="shared" ref="D3:D57" si="1">INT(C3/10)*10 &amp; "s"</f>
        <v>1980s</v>
      </c>
      <c r="E3" t="s">
        <v>17</v>
      </c>
      <c r="F3" t="str">
        <f t="shared" si="0"/>
        <v>Local</v>
      </c>
      <c r="G3" s="1" t="s">
        <v>22</v>
      </c>
      <c r="H3" s="1"/>
      <c r="I3" s="1" t="s">
        <v>85</v>
      </c>
      <c r="J3" s="1" t="s">
        <v>204</v>
      </c>
      <c r="K3" s="1" t="s">
        <v>88</v>
      </c>
      <c r="L3" s="1" t="s">
        <v>28</v>
      </c>
      <c r="M3" s="1" t="s">
        <v>74</v>
      </c>
    </row>
    <row r="4" spans="1:17" ht="120" x14ac:dyDescent="0.25">
      <c r="A4" s="1" t="s">
        <v>77</v>
      </c>
      <c r="B4" s="1" t="s">
        <v>78</v>
      </c>
      <c r="C4" s="1">
        <v>1995</v>
      </c>
      <c r="D4" s="11" t="str">
        <f t="shared" si="1"/>
        <v>1990s</v>
      </c>
      <c r="E4" t="s">
        <v>17</v>
      </c>
      <c r="F4" t="str">
        <f t="shared" si="0"/>
        <v>Local</v>
      </c>
      <c r="G4" s="1" t="s">
        <v>109</v>
      </c>
      <c r="H4" s="1"/>
      <c r="I4" s="1" t="s">
        <v>85</v>
      </c>
      <c r="J4" s="1" t="s">
        <v>204</v>
      </c>
      <c r="K4" s="1" t="s">
        <v>88</v>
      </c>
      <c r="L4" s="1" t="s">
        <v>28</v>
      </c>
      <c r="M4" s="1" t="s">
        <v>74</v>
      </c>
    </row>
    <row r="5" spans="1:17" ht="210" x14ac:dyDescent="0.25">
      <c r="A5" s="1" t="s">
        <v>75</v>
      </c>
      <c r="B5" s="1" t="s">
        <v>76</v>
      </c>
      <c r="C5" s="1">
        <v>1998</v>
      </c>
      <c r="D5" s="11" t="str">
        <f t="shared" si="1"/>
        <v>1990s</v>
      </c>
      <c r="E5" t="s">
        <v>17</v>
      </c>
      <c r="F5" t="str">
        <f t="shared" si="0"/>
        <v>Local</v>
      </c>
      <c r="G5" s="1" t="s">
        <v>22</v>
      </c>
      <c r="H5" s="1"/>
      <c r="I5" s="1" t="s">
        <v>85</v>
      </c>
      <c r="J5" s="1" t="s">
        <v>35</v>
      </c>
      <c r="K5" s="1" t="s">
        <v>35</v>
      </c>
      <c r="L5" s="1" t="s">
        <v>28</v>
      </c>
      <c r="M5" s="1" t="s">
        <v>79</v>
      </c>
    </row>
    <row r="6" spans="1:17" ht="90" x14ac:dyDescent="0.25">
      <c r="A6" s="1" t="s">
        <v>81</v>
      </c>
      <c r="B6" s="1" t="s">
        <v>82</v>
      </c>
      <c r="C6" s="1">
        <v>2004</v>
      </c>
      <c r="D6" s="11" t="str">
        <f t="shared" si="1"/>
        <v>2000s</v>
      </c>
      <c r="E6" t="s">
        <v>17</v>
      </c>
      <c r="F6" t="str">
        <f t="shared" si="0"/>
        <v>Local</v>
      </c>
      <c r="G6" s="1" t="s">
        <v>22</v>
      </c>
      <c r="H6" s="1"/>
      <c r="I6" s="1" t="s">
        <v>85</v>
      </c>
      <c r="J6" s="1" t="s">
        <v>35</v>
      </c>
      <c r="K6" s="1" t="s">
        <v>35</v>
      </c>
      <c r="L6" s="1" t="s">
        <v>28</v>
      </c>
      <c r="M6" s="1" t="s">
        <v>79</v>
      </c>
    </row>
    <row r="7" spans="1:17" ht="210" x14ac:dyDescent="0.25">
      <c r="A7" s="1" t="s">
        <v>83</v>
      </c>
      <c r="B7" s="1" t="s">
        <v>84</v>
      </c>
      <c r="C7" s="1">
        <v>2007</v>
      </c>
      <c r="D7" s="11" t="str">
        <f t="shared" si="1"/>
        <v>2000s</v>
      </c>
      <c r="E7" t="s">
        <v>17</v>
      </c>
      <c r="F7" t="str">
        <f t="shared" si="0"/>
        <v>Local</v>
      </c>
      <c r="G7" s="1" t="s">
        <v>22</v>
      </c>
      <c r="H7" s="1"/>
      <c r="I7" s="1" t="s">
        <v>21</v>
      </c>
      <c r="J7" s="1" t="s">
        <v>200</v>
      </c>
      <c r="K7" s="1" t="s">
        <v>88</v>
      </c>
      <c r="L7" s="1" t="s">
        <v>28</v>
      </c>
      <c r="M7" s="1" t="s">
        <v>205</v>
      </c>
    </row>
    <row r="8" spans="1:17" ht="195" x14ac:dyDescent="0.25">
      <c r="A8" s="1" t="s">
        <v>86</v>
      </c>
      <c r="B8" s="1" t="s">
        <v>87</v>
      </c>
      <c r="C8" s="1">
        <v>2007</v>
      </c>
      <c r="D8" s="11" t="str">
        <f t="shared" si="1"/>
        <v>2000s</v>
      </c>
      <c r="E8" t="s">
        <v>17</v>
      </c>
      <c r="F8" t="str">
        <f t="shared" si="0"/>
        <v>Local</v>
      </c>
      <c r="G8" s="1" t="s">
        <v>23</v>
      </c>
      <c r="H8" s="1"/>
      <c r="I8" s="1" t="s">
        <v>21</v>
      </c>
      <c r="J8" s="1" t="s">
        <v>200</v>
      </c>
      <c r="K8" s="1" t="s">
        <v>88</v>
      </c>
      <c r="L8" s="1" t="s">
        <v>28</v>
      </c>
      <c r="M8" s="1" t="s">
        <v>205</v>
      </c>
    </row>
    <row r="9" spans="1:17" ht="120" x14ac:dyDescent="0.25">
      <c r="A9" s="1" t="s">
        <v>8</v>
      </c>
      <c r="B9" s="1" t="s">
        <v>9</v>
      </c>
      <c r="C9" s="1">
        <v>2007</v>
      </c>
      <c r="D9" s="11" t="str">
        <f t="shared" si="1"/>
        <v>2000s</v>
      </c>
      <c r="E9" t="s">
        <v>16</v>
      </c>
      <c r="F9" t="str">
        <f t="shared" si="0"/>
        <v>Bulk</v>
      </c>
      <c r="G9" s="1" t="s">
        <v>22</v>
      </c>
      <c r="H9" s="1" t="s">
        <v>24</v>
      </c>
      <c r="I9" s="1" t="s">
        <v>21</v>
      </c>
      <c r="J9" s="1" t="s">
        <v>125</v>
      </c>
      <c r="K9" s="1" t="s">
        <v>125</v>
      </c>
      <c r="L9" s="1" t="s">
        <v>27</v>
      </c>
      <c r="M9" s="1" t="s">
        <v>30</v>
      </c>
    </row>
    <row r="10" spans="1:17" ht="150" x14ac:dyDescent="0.25">
      <c r="A10" s="1" t="s">
        <v>90</v>
      </c>
      <c r="B10" s="1" t="s">
        <v>89</v>
      </c>
      <c r="C10" s="1">
        <v>2007</v>
      </c>
      <c r="D10" s="11" t="str">
        <f t="shared" si="1"/>
        <v>2000s</v>
      </c>
      <c r="E10" t="s">
        <v>17</v>
      </c>
      <c r="F10" t="str">
        <f t="shared" si="0"/>
        <v>Local</v>
      </c>
      <c r="G10" s="1" t="s">
        <v>22</v>
      </c>
      <c r="H10" s="1"/>
      <c r="I10" s="1" t="s">
        <v>21</v>
      </c>
      <c r="J10" s="1" t="s">
        <v>203</v>
      </c>
      <c r="K10" s="1" t="s">
        <v>91</v>
      </c>
      <c r="L10" s="1" t="s">
        <v>27</v>
      </c>
      <c r="M10" s="1" t="s">
        <v>55</v>
      </c>
      <c r="N10" t="s">
        <v>196</v>
      </c>
    </row>
    <row r="11" spans="1:17" ht="255" x14ac:dyDescent="0.25">
      <c r="A11" s="1" t="s">
        <v>92</v>
      </c>
      <c r="B11" s="1" t="s">
        <v>93</v>
      </c>
      <c r="C11" s="1">
        <v>2007</v>
      </c>
      <c r="D11" s="11" t="str">
        <f t="shared" si="1"/>
        <v>2000s</v>
      </c>
      <c r="E11" t="s">
        <v>16</v>
      </c>
      <c r="F11" t="str">
        <f t="shared" si="0"/>
        <v>Bulk</v>
      </c>
      <c r="G11" s="1" t="s">
        <v>22</v>
      </c>
      <c r="H11" s="1"/>
      <c r="I11" s="1" t="s">
        <v>21</v>
      </c>
      <c r="J11" s="1" t="s">
        <v>125</v>
      </c>
      <c r="K11" s="1" t="s">
        <v>125</v>
      </c>
      <c r="L11" s="1" t="s">
        <v>27</v>
      </c>
      <c r="M11" s="1" t="s">
        <v>30</v>
      </c>
    </row>
    <row r="12" spans="1:17" ht="150" x14ac:dyDescent="0.25">
      <c r="A12" s="1" t="s">
        <v>10</v>
      </c>
      <c r="B12" s="1" t="s">
        <v>11</v>
      </c>
      <c r="C12" s="1">
        <v>2007</v>
      </c>
      <c r="D12" s="11" t="str">
        <f t="shared" si="1"/>
        <v>2000s</v>
      </c>
      <c r="E12" t="s">
        <v>17</v>
      </c>
      <c r="F12" t="str">
        <f t="shared" si="0"/>
        <v>Local</v>
      </c>
      <c r="G12" s="1" t="s">
        <v>23</v>
      </c>
      <c r="H12" s="1" t="s">
        <v>34</v>
      </c>
      <c r="I12" s="1" t="s">
        <v>80</v>
      </c>
      <c r="J12" s="1" t="s">
        <v>35</v>
      </c>
      <c r="K12" s="1" t="s">
        <v>190</v>
      </c>
      <c r="L12" s="1" t="s">
        <v>28</v>
      </c>
      <c r="M12" s="1" t="s">
        <v>55</v>
      </c>
    </row>
    <row r="13" spans="1:17" s="4" customFormat="1" ht="60" x14ac:dyDescent="0.25">
      <c r="A13" s="7" t="s">
        <v>159</v>
      </c>
      <c r="B13" s="7" t="s">
        <v>160</v>
      </c>
      <c r="C13" s="8">
        <v>2007</v>
      </c>
      <c r="D13" s="11" t="str">
        <f t="shared" si="1"/>
        <v>2000s</v>
      </c>
      <c r="E13" s="7" t="s">
        <v>17</v>
      </c>
      <c r="F13" t="str">
        <f t="shared" si="0"/>
        <v>Local</v>
      </c>
      <c r="G13" s="1" t="s">
        <v>23</v>
      </c>
      <c r="H13" s="1" t="s">
        <v>34</v>
      </c>
      <c r="I13" s="1" t="s">
        <v>85</v>
      </c>
      <c r="J13" s="1" t="s">
        <v>35</v>
      </c>
      <c r="K13" s="8" t="s">
        <v>161</v>
      </c>
      <c r="L13" s="7"/>
      <c r="M13" s="8" t="s">
        <v>98</v>
      </c>
      <c r="N13" s="7"/>
      <c r="O13" s="7"/>
    </row>
    <row r="14" spans="1:17" ht="165" x14ac:dyDescent="0.25">
      <c r="A14" s="6" t="s">
        <v>32</v>
      </c>
      <c r="B14" s="6" t="s">
        <v>31</v>
      </c>
      <c r="C14" s="6">
        <v>2009</v>
      </c>
      <c r="D14" s="11" t="str">
        <f t="shared" si="1"/>
        <v>2000s</v>
      </c>
      <c r="E14" s="5" t="s">
        <v>33</v>
      </c>
      <c r="F14" t="str">
        <f t="shared" si="0"/>
        <v>Local</v>
      </c>
      <c r="G14" s="1" t="s">
        <v>109</v>
      </c>
      <c r="H14" s="1"/>
      <c r="I14" s="6" t="s">
        <v>80</v>
      </c>
      <c r="J14" s="6" t="s">
        <v>35</v>
      </c>
      <c r="K14" s="6" t="s">
        <v>35</v>
      </c>
      <c r="L14" s="6" t="s">
        <v>28</v>
      </c>
      <c r="M14" s="6" t="s">
        <v>185</v>
      </c>
      <c r="N14" s="6" t="s">
        <v>36</v>
      </c>
    </row>
    <row r="15" spans="1:17" ht="180" x14ac:dyDescent="0.25">
      <c r="A15" s="1" t="s">
        <v>12</v>
      </c>
      <c r="B15" s="1" t="s">
        <v>13</v>
      </c>
      <c r="C15" s="1">
        <v>2009</v>
      </c>
      <c r="D15" s="11" t="str">
        <f t="shared" si="1"/>
        <v>2000s</v>
      </c>
      <c r="E15" t="s">
        <v>16</v>
      </c>
      <c r="F15" t="str">
        <f t="shared" si="0"/>
        <v>Bulk</v>
      </c>
      <c r="G15" s="1" t="s">
        <v>22</v>
      </c>
      <c r="H15" s="1" t="s">
        <v>24</v>
      </c>
      <c r="I15" s="1" t="s">
        <v>21</v>
      </c>
      <c r="J15" s="1" t="s">
        <v>125</v>
      </c>
      <c r="K15" s="1" t="s">
        <v>125</v>
      </c>
      <c r="L15" s="1" t="s">
        <v>27</v>
      </c>
      <c r="M15" s="1" t="s">
        <v>30</v>
      </c>
      <c r="P15" s="1"/>
      <c r="Q15" s="1"/>
    </row>
    <row r="16" spans="1:17" ht="90" x14ac:dyDescent="0.25">
      <c r="A16" s="1" t="s">
        <v>96</v>
      </c>
      <c r="B16" s="1" t="s">
        <v>97</v>
      </c>
      <c r="C16" s="1">
        <v>2010</v>
      </c>
      <c r="D16" s="11" t="str">
        <f t="shared" si="1"/>
        <v>2010s</v>
      </c>
      <c r="E16" s="1" t="s">
        <v>17</v>
      </c>
      <c r="F16" t="str">
        <f t="shared" si="0"/>
        <v>Local</v>
      </c>
      <c r="G16" s="1" t="s">
        <v>109</v>
      </c>
      <c r="H16" s="1"/>
      <c r="I16" s="1" t="s">
        <v>80</v>
      </c>
      <c r="J16" s="1" t="s">
        <v>35</v>
      </c>
      <c r="K16" s="1" t="s">
        <v>35</v>
      </c>
      <c r="L16" s="1" t="s">
        <v>28</v>
      </c>
      <c r="M16" s="1" t="s">
        <v>98</v>
      </c>
      <c r="P16" s="1"/>
      <c r="Q16" s="1"/>
    </row>
    <row r="17" spans="1:14" ht="165" x14ac:dyDescent="0.25">
      <c r="A17" s="1" t="s">
        <v>14</v>
      </c>
      <c r="B17" s="1" t="s">
        <v>15</v>
      </c>
      <c r="C17" s="1">
        <v>2012</v>
      </c>
      <c r="D17" s="11" t="str">
        <f t="shared" si="1"/>
        <v>2010s</v>
      </c>
      <c r="E17" t="s">
        <v>17</v>
      </c>
      <c r="F17" t="str">
        <f t="shared" si="0"/>
        <v>Local</v>
      </c>
      <c r="G17" s="1" t="s">
        <v>22</v>
      </c>
      <c r="H17" s="1"/>
      <c r="I17" s="1" t="s">
        <v>80</v>
      </c>
      <c r="J17" s="1" t="s">
        <v>35</v>
      </c>
      <c r="K17" s="1" t="s">
        <v>35</v>
      </c>
      <c r="L17" s="1" t="s">
        <v>28</v>
      </c>
      <c r="M17" s="1" t="s">
        <v>55</v>
      </c>
    </row>
    <row r="18" spans="1:14" ht="255" x14ac:dyDescent="0.25">
      <c r="A18" s="1" t="s">
        <v>99</v>
      </c>
      <c r="B18" s="1" t="s">
        <v>100</v>
      </c>
      <c r="C18" s="1">
        <v>2013</v>
      </c>
      <c r="D18" s="11" t="str">
        <f t="shared" si="1"/>
        <v>2010s</v>
      </c>
      <c r="E18" t="s">
        <v>17</v>
      </c>
      <c r="F18" t="str">
        <f t="shared" si="0"/>
        <v>Local</v>
      </c>
      <c r="G18" s="1" t="s">
        <v>22</v>
      </c>
      <c r="H18" s="1"/>
      <c r="I18" s="1" t="s">
        <v>85</v>
      </c>
      <c r="J18" s="1" t="s">
        <v>35</v>
      </c>
      <c r="K18" s="1" t="s">
        <v>35</v>
      </c>
      <c r="L18" s="1" t="s">
        <v>28</v>
      </c>
      <c r="M18" s="1" t="s">
        <v>79</v>
      </c>
    </row>
    <row r="19" spans="1:14" ht="105" x14ac:dyDescent="0.25">
      <c r="A19" s="1" t="s">
        <v>94</v>
      </c>
      <c r="B19" s="1" t="s">
        <v>95</v>
      </c>
      <c r="C19" s="1">
        <v>2013</v>
      </c>
      <c r="D19" s="11" t="str">
        <f t="shared" si="1"/>
        <v>2010s</v>
      </c>
      <c r="E19" t="s">
        <v>17</v>
      </c>
      <c r="F19" t="str">
        <f t="shared" si="0"/>
        <v>Local</v>
      </c>
      <c r="G19" s="1" t="s">
        <v>23</v>
      </c>
      <c r="H19" s="1"/>
      <c r="I19" s="1" t="s">
        <v>21</v>
      </c>
      <c r="J19" s="1" t="s">
        <v>125</v>
      </c>
      <c r="K19" s="1" t="s">
        <v>125</v>
      </c>
      <c r="L19" s="1" t="s">
        <v>28</v>
      </c>
      <c r="M19" s="1" t="s">
        <v>146</v>
      </c>
    </row>
    <row r="20" spans="1:14" ht="195" x14ac:dyDescent="0.25">
      <c r="A20" s="1" t="s">
        <v>103</v>
      </c>
      <c r="B20" s="1" t="s">
        <v>104</v>
      </c>
      <c r="C20" s="1">
        <v>2015</v>
      </c>
      <c r="D20" s="11" t="str">
        <f t="shared" si="1"/>
        <v>2010s</v>
      </c>
      <c r="E20" t="s">
        <v>17</v>
      </c>
      <c r="F20" t="str">
        <f t="shared" si="0"/>
        <v>Local</v>
      </c>
      <c r="G20" s="1" t="s">
        <v>23</v>
      </c>
      <c r="H20" s="1"/>
      <c r="I20" s="1" t="s">
        <v>80</v>
      </c>
      <c r="J20" s="1" t="s">
        <v>198</v>
      </c>
      <c r="K20" s="1" t="s">
        <v>26</v>
      </c>
      <c r="L20" s="1" t="s">
        <v>28</v>
      </c>
      <c r="M20" s="1" t="s">
        <v>40</v>
      </c>
    </row>
    <row r="21" spans="1:14" ht="165" x14ac:dyDescent="0.25">
      <c r="A21" s="1" t="s">
        <v>101</v>
      </c>
      <c r="B21" s="1" t="s">
        <v>102</v>
      </c>
      <c r="C21" s="1">
        <v>2015</v>
      </c>
      <c r="D21" s="11" t="str">
        <f t="shared" si="1"/>
        <v>2010s</v>
      </c>
      <c r="E21" t="s">
        <v>17</v>
      </c>
      <c r="F21" t="str">
        <f t="shared" si="0"/>
        <v>Local</v>
      </c>
      <c r="G21" s="1" t="s">
        <v>22</v>
      </c>
      <c r="H21" s="1"/>
      <c r="I21" s="1" t="s">
        <v>85</v>
      </c>
      <c r="J21" s="1" t="s">
        <v>35</v>
      </c>
      <c r="K21" s="1" t="s">
        <v>35</v>
      </c>
      <c r="L21" s="1" t="s">
        <v>28</v>
      </c>
      <c r="M21" s="1" t="s">
        <v>55</v>
      </c>
    </row>
    <row r="22" spans="1:14" ht="150" x14ac:dyDescent="0.25">
      <c r="A22" s="1" t="s">
        <v>105</v>
      </c>
      <c r="B22" s="1" t="s">
        <v>106</v>
      </c>
      <c r="C22" s="1">
        <v>2015</v>
      </c>
      <c r="D22" s="11" t="str">
        <f t="shared" si="1"/>
        <v>2010s</v>
      </c>
      <c r="E22" t="s">
        <v>17</v>
      </c>
      <c r="F22" t="str">
        <f t="shared" si="0"/>
        <v>Local</v>
      </c>
      <c r="G22" s="1" t="s">
        <v>22</v>
      </c>
      <c r="H22" s="1"/>
      <c r="I22" s="1" t="s">
        <v>80</v>
      </c>
      <c r="J22" s="1" t="s">
        <v>35</v>
      </c>
      <c r="K22" s="1" t="s">
        <v>35</v>
      </c>
      <c r="L22" s="1" t="s">
        <v>28</v>
      </c>
      <c r="M22" s="1" t="s">
        <v>64</v>
      </c>
    </row>
    <row r="23" spans="1:14" ht="165" x14ac:dyDescent="0.25">
      <c r="A23" s="1" t="s">
        <v>37</v>
      </c>
      <c r="B23" s="1" t="s">
        <v>38</v>
      </c>
      <c r="C23" s="1">
        <v>2016</v>
      </c>
      <c r="D23" s="11" t="str">
        <f t="shared" si="1"/>
        <v>2010s</v>
      </c>
      <c r="E23" t="s">
        <v>17</v>
      </c>
      <c r="F23" t="str">
        <f t="shared" si="0"/>
        <v>Local</v>
      </c>
      <c r="G23" s="1" t="s">
        <v>22</v>
      </c>
      <c r="H23" s="1"/>
      <c r="I23" s="1" t="s">
        <v>85</v>
      </c>
      <c r="J23" s="1" t="s">
        <v>35</v>
      </c>
      <c r="K23" s="1" t="s">
        <v>39</v>
      </c>
      <c r="L23" s="1" t="s">
        <v>28</v>
      </c>
      <c r="M23" s="1" t="s">
        <v>40</v>
      </c>
    </row>
    <row r="24" spans="1:14" ht="120" x14ac:dyDescent="0.25">
      <c r="A24" s="1" t="s">
        <v>41</v>
      </c>
      <c r="B24" s="1" t="s">
        <v>42</v>
      </c>
      <c r="C24" s="1">
        <v>2016</v>
      </c>
      <c r="D24" s="11" t="str">
        <f t="shared" si="1"/>
        <v>2010s</v>
      </c>
      <c r="E24" t="s">
        <v>16</v>
      </c>
      <c r="F24" t="str">
        <f t="shared" si="0"/>
        <v>Bulk</v>
      </c>
      <c r="G24" s="1" t="s">
        <v>109</v>
      </c>
      <c r="H24" s="1"/>
      <c r="I24" t="s">
        <v>21</v>
      </c>
      <c r="J24" s="1" t="s">
        <v>125</v>
      </c>
      <c r="K24" s="1" t="s">
        <v>125</v>
      </c>
      <c r="L24" s="1" t="s">
        <v>27</v>
      </c>
      <c r="M24" s="1" t="s">
        <v>65</v>
      </c>
    </row>
    <row r="25" spans="1:14" ht="120" x14ac:dyDescent="0.25">
      <c r="A25" s="1" t="s">
        <v>131</v>
      </c>
      <c r="B25" s="1" t="s">
        <v>132</v>
      </c>
      <c r="C25" s="1">
        <v>2016</v>
      </c>
      <c r="D25" s="11" t="str">
        <f t="shared" si="1"/>
        <v>2010s</v>
      </c>
      <c r="E25" t="s">
        <v>17</v>
      </c>
      <c r="F25" t="str">
        <f t="shared" si="0"/>
        <v>Local</v>
      </c>
      <c r="G25" s="1" t="s">
        <v>22</v>
      </c>
      <c r="H25" s="1"/>
      <c r="I25" t="s">
        <v>21</v>
      </c>
      <c r="J25" s="1" t="s">
        <v>203</v>
      </c>
      <c r="K25" t="s">
        <v>189</v>
      </c>
      <c r="L25" s="1" t="s">
        <v>27</v>
      </c>
      <c r="M25" t="s">
        <v>186</v>
      </c>
      <c r="N25" t="s">
        <v>196</v>
      </c>
    </row>
    <row r="26" spans="1:14" ht="225" x14ac:dyDescent="0.25">
      <c r="A26" s="1" t="s">
        <v>107</v>
      </c>
      <c r="B26" s="1" t="s">
        <v>108</v>
      </c>
      <c r="C26" s="1">
        <v>2017</v>
      </c>
      <c r="D26" s="11" t="str">
        <f t="shared" si="1"/>
        <v>2010s</v>
      </c>
      <c r="E26" t="s">
        <v>17</v>
      </c>
      <c r="F26" t="str">
        <f t="shared" si="0"/>
        <v>Local</v>
      </c>
      <c r="G26" s="1" t="s">
        <v>110</v>
      </c>
      <c r="H26" s="1"/>
      <c r="I26" s="1" t="s">
        <v>85</v>
      </c>
      <c r="J26" s="1" t="s">
        <v>198</v>
      </c>
      <c r="K26" s="1" t="s">
        <v>111</v>
      </c>
      <c r="L26" s="1" t="s">
        <v>28</v>
      </c>
      <c r="M26" s="1" t="s">
        <v>64</v>
      </c>
    </row>
    <row r="27" spans="1:14" ht="210" x14ac:dyDescent="0.25">
      <c r="A27" s="1" t="s">
        <v>112</v>
      </c>
      <c r="B27" s="1" t="s">
        <v>113</v>
      </c>
      <c r="C27" s="1">
        <v>2017</v>
      </c>
      <c r="D27" s="11" t="str">
        <f t="shared" si="1"/>
        <v>2010s</v>
      </c>
      <c r="E27" t="s">
        <v>17</v>
      </c>
      <c r="F27" t="str">
        <f t="shared" si="0"/>
        <v>Local</v>
      </c>
      <c r="G27" s="1" t="s">
        <v>22</v>
      </c>
      <c r="H27" s="1"/>
      <c r="I27" s="1" t="s">
        <v>80</v>
      </c>
      <c r="J27" s="1" t="s">
        <v>35</v>
      </c>
      <c r="K27" s="1" t="s">
        <v>35</v>
      </c>
      <c r="L27" s="1" t="s">
        <v>28</v>
      </c>
      <c r="M27" s="1" t="s">
        <v>55</v>
      </c>
    </row>
    <row r="28" spans="1:14" ht="225" x14ac:dyDescent="0.25">
      <c r="A28" s="1" t="s">
        <v>48</v>
      </c>
      <c r="B28" s="1" t="s">
        <v>49</v>
      </c>
      <c r="C28" s="1">
        <v>2017</v>
      </c>
      <c r="D28" s="11" t="str">
        <f t="shared" si="1"/>
        <v>2010s</v>
      </c>
      <c r="E28" t="s">
        <v>16</v>
      </c>
      <c r="F28" t="str">
        <f t="shared" si="0"/>
        <v>Bulk</v>
      </c>
      <c r="G28" s="1" t="s">
        <v>22</v>
      </c>
      <c r="H28" s="1"/>
      <c r="I28" s="1" t="s">
        <v>21</v>
      </c>
      <c r="J28" s="1" t="s">
        <v>203</v>
      </c>
      <c r="K28" s="1" t="s">
        <v>194</v>
      </c>
      <c r="L28" s="1" t="s">
        <v>28</v>
      </c>
      <c r="M28" s="1" t="s">
        <v>55</v>
      </c>
      <c r="N28" s="1" t="s">
        <v>199</v>
      </c>
    </row>
    <row r="29" spans="1:14" ht="150" x14ac:dyDescent="0.25">
      <c r="A29" s="1" t="s">
        <v>50</v>
      </c>
      <c r="B29" s="1" t="s">
        <v>51</v>
      </c>
      <c r="C29" s="1">
        <v>2017</v>
      </c>
      <c r="D29" s="11" t="str">
        <f t="shared" si="1"/>
        <v>2010s</v>
      </c>
      <c r="E29" t="s">
        <v>33</v>
      </c>
      <c r="F29" t="str">
        <f t="shared" si="0"/>
        <v>Local</v>
      </c>
      <c r="G29" s="1" t="s">
        <v>22</v>
      </c>
      <c r="H29" s="1"/>
      <c r="I29" s="1" t="s">
        <v>21</v>
      </c>
      <c r="J29" s="1" t="s">
        <v>203</v>
      </c>
      <c r="K29" s="1" t="s">
        <v>130</v>
      </c>
      <c r="L29" s="1" t="s">
        <v>28</v>
      </c>
      <c r="M29" s="1" t="s">
        <v>52</v>
      </c>
      <c r="N29" s="1" t="s">
        <v>197</v>
      </c>
    </row>
    <row r="30" spans="1:14" ht="135" x14ac:dyDescent="0.25">
      <c r="A30" s="1" t="s">
        <v>48</v>
      </c>
      <c r="B30" s="1" t="s">
        <v>114</v>
      </c>
      <c r="C30" s="1">
        <v>2018</v>
      </c>
      <c r="D30" s="11" t="str">
        <f t="shared" si="1"/>
        <v>2010s</v>
      </c>
      <c r="E30" t="s">
        <v>16</v>
      </c>
      <c r="F30" t="str">
        <f t="shared" si="0"/>
        <v>Bulk</v>
      </c>
      <c r="G30" s="1" t="s">
        <v>22</v>
      </c>
      <c r="H30" s="1"/>
      <c r="I30" s="1" t="s">
        <v>21</v>
      </c>
      <c r="J30" s="1" t="s">
        <v>125</v>
      </c>
      <c r="K30" s="1" t="s">
        <v>125</v>
      </c>
      <c r="L30" s="1" t="s">
        <v>28</v>
      </c>
      <c r="M30" s="1" t="s">
        <v>55</v>
      </c>
    </row>
    <row r="31" spans="1:14" ht="165" x14ac:dyDescent="0.25">
      <c r="A31" s="1" t="s">
        <v>53</v>
      </c>
      <c r="B31" s="1" t="s">
        <v>54</v>
      </c>
      <c r="C31" s="1">
        <v>2019</v>
      </c>
      <c r="D31" s="11" t="str">
        <f t="shared" si="1"/>
        <v>2010s</v>
      </c>
      <c r="E31" t="s">
        <v>17</v>
      </c>
      <c r="F31" t="str">
        <f t="shared" si="0"/>
        <v>Local</v>
      </c>
      <c r="G31" s="1" t="s">
        <v>22</v>
      </c>
      <c r="H31" s="1"/>
      <c r="I31" s="1" t="s">
        <v>85</v>
      </c>
      <c r="J31" s="1" t="s">
        <v>203</v>
      </c>
      <c r="K31" s="1" t="s">
        <v>56</v>
      </c>
      <c r="L31" s="1" t="s">
        <v>28</v>
      </c>
      <c r="M31" s="1" t="s">
        <v>55</v>
      </c>
      <c r="N31" s="1" t="s">
        <v>196</v>
      </c>
    </row>
    <row r="32" spans="1:14" ht="210" x14ac:dyDescent="0.25">
      <c r="A32" t="s">
        <v>157</v>
      </c>
      <c r="B32" s="2" t="s">
        <v>158</v>
      </c>
      <c r="C32" s="1">
        <v>2019</v>
      </c>
      <c r="D32" s="11" t="str">
        <f t="shared" si="1"/>
        <v>2010s</v>
      </c>
      <c r="E32" t="s">
        <v>16</v>
      </c>
      <c r="F32" t="str">
        <f t="shared" si="0"/>
        <v>Bulk</v>
      </c>
      <c r="G32" s="1" t="s">
        <v>22</v>
      </c>
      <c r="H32" s="1"/>
      <c r="I32" s="1" t="s">
        <v>80</v>
      </c>
      <c r="J32" s="1" t="s">
        <v>35</v>
      </c>
      <c r="K32" s="1" t="s">
        <v>35</v>
      </c>
      <c r="L32" s="1" t="s">
        <v>28</v>
      </c>
      <c r="M32" s="1" t="s">
        <v>55</v>
      </c>
    </row>
    <row r="33" spans="1:13" ht="120" x14ac:dyDescent="0.25">
      <c r="A33" s="1" t="s">
        <v>115</v>
      </c>
      <c r="B33" s="1" t="s">
        <v>116</v>
      </c>
      <c r="C33" s="1">
        <v>2020</v>
      </c>
      <c r="D33" s="11" t="str">
        <f t="shared" si="1"/>
        <v>2020s</v>
      </c>
      <c r="E33" t="s">
        <v>17</v>
      </c>
      <c r="F33" t="str">
        <f t="shared" si="0"/>
        <v>Local</v>
      </c>
      <c r="G33" s="1" t="s">
        <v>22</v>
      </c>
      <c r="H33" s="1"/>
      <c r="I33" s="1" t="s">
        <v>21</v>
      </c>
      <c r="J33" s="1" t="s">
        <v>187</v>
      </c>
      <c r="K33" s="1" t="s">
        <v>117</v>
      </c>
      <c r="L33" s="1" t="s">
        <v>28</v>
      </c>
      <c r="M33" s="1" t="s">
        <v>187</v>
      </c>
    </row>
    <row r="34" spans="1:13" ht="210" x14ac:dyDescent="0.25">
      <c r="A34" s="1" t="s">
        <v>119</v>
      </c>
      <c r="B34" s="1" t="s">
        <v>118</v>
      </c>
      <c r="C34" s="1">
        <v>2020</v>
      </c>
      <c r="D34" s="11" t="str">
        <f t="shared" si="1"/>
        <v>2020s</v>
      </c>
      <c r="E34" t="s">
        <v>17</v>
      </c>
      <c r="F34" t="str">
        <f t="shared" si="0"/>
        <v>Local</v>
      </c>
      <c r="G34" s="1" t="s">
        <v>22</v>
      </c>
      <c r="H34" s="1"/>
      <c r="I34" s="1" t="s">
        <v>21</v>
      </c>
      <c r="J34" s="1" t="s">
        <v>35</v>
      </c>
      <c r="K34" s="1" t="s">
        <v>35</v>
      </c>
      <c r="L34" s="1" t="s">
        <v>28</v>
      </c>
      <c r="M34" s="1" t="s">
        <v>55</v>
      </c>
    </row>
    <row r="35" spans="1:13" ht="105" x14ac:dyDescent="0.25">
      <c r="A35" s="1" t="s">
        <v>94</v>
      </c>
      <c r="B35" s="1" t="s">
        <v>95</v>
      </c>
      <c r="C35" s="1">
        <v>2013</v>
      </c>
      <c r="D35" s="11" t="str">
        <f t="shared" si="1"/>
        <v>2010s</v>
      </c>
      <c r="E35" t="s">
        <v>16</v>
      </c>
      <c r="F35" t="str">
        <f t="shared" ref="F35" si="2">IF(E35="1D","Bulk",
IF(E35="x","","Local"))</f>
        <v>Bulk</v>
      </c>
      <c r="G35" s="1" t="s">
        <v>23</v>
      </c>
      <c r="H35" s="1"/>
      <c r="I35" s="1" t="s">
        <v>21</v>
      </c>
      <c r="J35" s="1" t="s">
        <v>125</v>
      </c>
      <c r="K35" s="1" t="s">
        <v>125</v>
      </c>
      <c r="L35" s="1" t="s">
        <v>28</v>
      </c>
      <c r="M35" s="1" t="s">
        <v>30</v>
      </c>
    </row>
    <row r="36" spans="1:13" ht="180" x14ac:dyDescent="0.25">
      <c r="A36" s="1" t="s">
        <v>120</v>
      </c>
      <c r="B36" s="1" t="s">
        <v>121</v>
      </c>
      <c r="C36" s="1">
        <v>2020</v>
      </c>
      <c r="D36" s="11" t="str">
        <f t="shared" si="1"/>
        <v>2020s</v>
      </c>
      <c r="E36" t="s">
        <v>16</v>
      </c>
      <c r="F36" t="str">
        <f t="shared" si="0"/>
        <v>Bulk</v>
      </c>
      <c r="G36" s="1" t="s">
        <v>22</v>
      </c>
      <c r="H36" s="1"/>
      <c r="I36" s="1" t="s">
        <v>85</v>
      </c>
      <c r="J36" s="1" t="s">
        <v>125</v>
      </c>
      <c r="K36" s="1" t="s">
        <v>125</v>
      </c>
      <c r="L36" s="1" t="s">
        <v>122</v>
      </c>
      <c r="M36" s="1" t="s">
        <v>55</v>
      </c>
    </row>
    <row r="37" spans="1:13" ht="135" x14ac:dyDescent="0.25">
      <c r="A37" s="1" t="s">
        <v>123</v>
      </c>
      <c r="B37" s="1" t="s">
        <v>124</v>
      </c>
      <c r="C37" s="1">
        <v>2020</v>
      </c>
      <c r="D37" s="11" t="str">
        <f t="shared" si="1"/>
        <v>2020s</v>
      </c>
      <c r="E37" t="s">
        <v>16</v>
      </c>
      <c r="F37" t="str">
        <f t="shared" si="0"/>
        <v>Bulk</v>
      </c>
      <c r="G37" s="1" t="s">
        <v>22</v>
      </c>
      <c r="H37" s="1"/>
      <c r="I37" s="1" t="s">
        <v>21</v>
      </c>
      <c r="J37" s="1" t="s">
        <v>125</v>
      </c>
      <c r="K37" s="1" t="s">
        <v>125</v>
      </c>
      <c r="L37" s="1" t="s">
        <v>28</v>
      </c>
      <c r="M37" s="1" t="s">
        <v>65</v>
      </c>
    </row>
    <row r="38" spans="1:13" ht="150" x14ac:dyDescent="0.25">
      <c r="A38" s="1" t="s">
        <v>127</v>
      </c>
      <c r="B38" s="1" t="s">
        <v>126</v>
      </c>
      <c r="C38" s="1">
        <v>2020</v>
      </c>
      <c r="D38" s="11" t="str">
        <f t="shared" si="1"/>
        <v>2020s</v>
      </c>
      <c r="E38" t="s">
        <v>17</v>
      </c>
      <c r="F38" t="str">
        <f t="shared" si="0"/>
        <v>Local</v>
      </c>
      <c r="G38" s="1" t="s">
        <v>22</v>
      </c>
      <c r="H38" s="1"/>
      <c r="I38" s="1" t="s">
        <v>80</v>
      </c>
      <c r="J38" s="1" t="s">
        <v>35</v>
      </c>
      <c r="K38" s="1" t="s">
        <v>35</v>
      </c>
      <c r="L38" s="1" t="s">
        <v>28</v>
      </c>
      <c r="M38" s="1" t="s">
        <v>64</v>
      </c>
    </row>
    <row r="39" spans="1:13" ht="195" x14ac:dyDescent="0.25">
      <c r="A39" s="1" t="s">
        <v>128</v>
      </c>
      <c r="B39" s="1" t="s">
        <v>129</v>
      </c>
      <c r="C39" s="1">
        <v>2020</v>
      </c>
      <c r="D39" s="11" t="str">
        <f t="shared" si="1"/>
        <v>2020s</v>
      </c>
      <c r="E39" t="s">
        <v>17</v>
      </c>
      <c r="F39" t="str">
        <f t="shared" si="0"/>
        <v>Local</v>
      </c>
      <c r="G39" s="1" t="s">
        <v>22</v>
      </c>
      <c r="H39" s="1"/>
      <c r="I39" s="1" t="s">
        <v>85</v>
      </c>
      <c r="J39" s="1" t="s">
        <v>35</v>
      </c>
      <c r="K39" s="1" t="s">
        <v>35</v>
      </c>
      <c r="L39" s="1" t="s">
        <v>28</v>
      </c>
      <c r="M39" s="1" t="s">
        <v>55</v>
      </c>
    </row>
    <row r="40" spans="1:13" ht="90" x14ac:dyDescent="0.25">
      <c r="A40" s="1" t="s">
        <v>133</v>
      </c>
      <c r="B40" s="1" t="s">
        <v>134</v>
      </c>
      <c r="C40" s="1">
        <v>2021</v>
      </c>
      <c r="D40" s="11" t="str">
        <f t="shared" si="1"/>
        <v>2020s</v>
      </c>
      <c r="E40" t="s">
        <v>16</v>
      </c>
      <c r="F40" t="str">
        <f t="shared" si="0"/>
        <v>Bulk</v>
      </c>
      <c r="G40" s="1" t="s">
        <v>23</v>
      </c>
      <c r="H40" s="1"/>
      <c r="I40" s="1" t="s">
        <v>21</v>
      </c>
      <c r="J40" s="1" t="s">
        <v>125</v>
      </c>
      <c r="K40" s="1" t="s">
        <v>135</v>
      </c>
      <c r="L40" s="1" t="s">
        <v>28</v>
      </c>
      <c r="M40" s="1" t="s">
        <v>65</v>
      </c>
    </row>
    <row r="41" spans="1:13" ht="90" x14ac:dyDescent="0.25">
      <c r="A41" s="1" t="s">
        <v>57</v>
      </c>
      <c r="B41" s="1" t="s">
        <v>58</v>
      </c>
      <c r="C41" s="1">
        <v>2021</v>
      </c>
      <c r="D41" s="11" t="str">
        <f t="shared" si="1"/>
        <v>2020s</v>
      </c>
      <c r="E41" t="s">
        <v>17</v>
      </c>
      <c r="F41" t="str">
        <f t="shared" si="0"/>
        <v>Local</v>
      </c>
      <c r="G41" s="1" t="s">
        <v>22</v>
      </c>
      <c r="H41" s="1"/>
      <c r="I41" s="1" t="s">
        <v>85</v>
      </c>
      <c r="J41" s="1" t="s">
        <v>35</v>
      </c>
      <c r="K41" s="1" t="s">
        <v>35</v>
      </c>
      <c r="L41" s="1" t="s">
        <v>28</v>
      </c>
      <c r="M41" s="1" t="s">
        <v>55</v>
      </c>
    </row>
    <row r="42" spans="1:13" ht="165" x14ac:dyDescent="0.25">
      <c r="A42" s="1" t="s">
        <v>59</v>
      </c>
      <c r="B42" s="1" t="s">
        <v>60</v>
      </c>
      <c r="C42" s="1">
        <v>2022</v>
      </c>
      <c r="D42" s="11" t="str">
        <f t="shared" si="1"/>
        <v>2020s</v>
      </c>
      <c r="E42" t="s">
        <v>16</v>
      </c>
      <c r="F42" t="str">
        <f t="shared" si="0"/>
        <v>Bulk</v>
      </c>
      <c r="G42" s="1" t="s">
        <v>22</v>
      </c>
      <c r="H42" s="1"/>
      <c r="I42" s="1" t="s">
        <v>21</v>
      </c>
      <c r="J42" s="1" t="s">
        <v>125</v>
      </c>
      <c r="K42" s="1" t="s">
        <v>125</v>
      </c>
      <c r="L42" s="1" t="s">
        <v>27</v>
      </c>
      <c r="M42" s="1" t="s">
        <v>65</v>
      </c>
    </row>
    <row r="43" spans="1:13" ht="165" x14ac:dyDescent="0.25">
      <c r="A43" s="1" t="s">
        <v>59</v>
      </c>
      <c r="B43" s="1" t="s">
        <v>60</v>
      </c>
      <c r="C43" s="1">
        <v>2022</v>
      </c>
      <c r="D43" s="11" t="str">
        <f t="shared" si="1"/>
        <v>2020s</v>
      </c>
      <c r="E43" t="s">
        <v>17</v>
      </c>
      <c r="F43" t="str">
        <f t="shared" si="0"/>
        <v>Local</v>
      </c>
      <c r="G43" s="1" t="s">
        <v>22</v>
      </c>
      <c r="H43" s="1"/>
      <c r="I43" s="1" t="s">
        <v>21</v>
      </c>
      <c r="J43" s="1" t="s">
        <v>200</v>
      </c>
      <c r="K43" s="1" t="s">
        <v>63</v>
      </c>
      <c r="L43" s="1" t="s">
        <v>28</v>
      </c>
      <c r="M43" s="1" t="s">
        <v>64</v>
      </c>
    </row>
    <row r="44" spans="1:13" ht="150" x14ac:dyDescent="0.25">
      <c r="A44" s="1" t="s">
        <v>140</v>
      </c>
      <c r="B44" s="1" t="s">
        <v>141</v>
      </c>
      <c r="C44" s="1">
        <v>2022</v>
      </c>
      <c r="D44" s="11" t="str">
        <f t="shared" si="1"/>
        <v>2020s</v>
      </c>
      <c r="E44" t="s">
        <v>33</v>
      </c>
      <c r="F44" t="str">
        <f t="shared" si="0"/>
        <v>Local</v>
      </c>
      <c r="G44" s="1" t="s">
        <v>23</v>
      </c>
      <c r="H44" s="1"/>
      <c r="I44" s="1" t="s">
        <v>21</v>
      </c>
      <c r="J44" s="1" t="s">
        <v>35</v>
      </c>
      <c r="K44" s="1" t="s">
        <v>35</v>
      </c>
      <c r="L44" s="1" t="s">
        <v>28</v>
      </c>
      <c r="M44" s="1" t="s">
        <v>52</v>
      </c>
    </row>
    <row r="45" spans="1:13" ht="165" x14ac:dyDescent="0.25">
      <c r="A45" s="1" t="s">
        <v>61</v>
      </c>
      <c r="B45" s="1" t="s">
        <v>62</v>
      </c>
      <c r="C45" s="1">
        <v>2022</v>
      </c>
      <c r="D45" s="11" t="str">
        <f t="shared" si="1"/>
        <v>2020s</v>
      </c>
      <c r="E45" t="s">
        <v>17</v>
      </c>
      <c r="F45" t="str">
        <f t="shared" si="0"/>
        <v>Local</v>
      </c>
      <c r="G45" s="1" t="s">
        <v>22</v>
      </c>
      <c r="H45" s="1"/>
      <c r="I45" s="1" t="s">
        <v>85</v>
      </c>
      <c r="J45" s="1" t="s">
        <v>35</v>
      </c>
      <c r="K45" s="1" t="s">
        <v>35</v>
      </c>
      <c r="L45" s="1" t="s">
        <v>28</v>
      </c>
      <c r="M45" s="1" t="s">
        <v>55</v>
      </c>
    </row>
    <row r="46" spans="1:13" ht="195" x14ac:dyDescent="0.25">
      <c r="A46" s="1" t="s">
        <v>136</v>
      </c>
      <c r="B46" s="1" t="s">
        <v>137</v>
      </c>
      <c r="C46" s="1">
        <v>2023</v>
      </c>
      <c r="D46" s="11" t="str">
        <f t="shared" si="1"/>
        <v>2020s</v>
      </c>
      <c r="E46" t="s">
        <v>16</v>
      </c>
      <c r="F46" t="str">
        <f t="shared" si="0"/>
        <v>Bulk</v>
      </c>
      <c r="G46" s="1" t="s">
        <v>22</v>
      </c>
      <c r="H46" s="1"/>
      <c r="I46" s="1" t="s">
        <v>21</v>
      </c>
      <c r="J46" s="1" t="s">
        <v>125</v>
      </c>
      <c r="K46" s="1" t="s">
        <v>125</v>
      </c>
      <c r="L46" s="1" t="s">
        <v>28</v>
      </c>
      <c r="M46" s="1" t="s">
        <v>55</v>
      </c>
    </row>
    <row r="47" spans="1:13" ht="120" x14ac:dyDescent="0.25">
      <c r="A47" s="1" t="s">
        <v>138</v>
      </c>
      <c r="B47" s="1" t="s">
        <v>139</v>
      </c>
      <c r="C47" s="1">
        <v>2023</v>
      </c>
      <c r="D47" s="11" t="str">
        <f t="shared" si="1"/>
        <v>2020s</v>
      </c>
      <c r="E47" t="s">
        <v>16</v>
      </c>
      <c r="F47" t="str">
        <f t="shared" si="0"/>
        <v>Bulk</v>
      </c>
      <c r="G47" s="1" t="s">
        <v>22</v>
      </c>
      <c r="H47" s="1"/>
      <c r="I47" s="1" t="s">
        <v>21</v>
      </c>
      <c r="J47" s="1" t="s">
        <v>125</v>
      </c>
      <c r="K47" s="1" t="s">
        <v>125</v>
      </c>
      <c r="L47" s="1" t="s">
        <v>28</v>
      </c>
      <c r="M47" s="1" t="s">
        <v>65</v>
      </c>
    </row>
    <row r="48" spans="1:13" ht="135" x14ac:dyDescent="0.25">
      <c r="A48" s="1" t="s">
        <v>147</v>
      </c>
      <c r="B48" s="1" t="s">
        <v>148</v>
      </c>
      <c r="C48" s="1">
        <v>2024</v>
      </c>
      <c r="D48" s="11" t="str">
        <f t="shared" si="1"/>
        <v>2020s</v>
      </c>
      <c r="E48" t="s">
        <v>16</v>
      </c>
      <c r="F48" t="str">
        <f t="shared" si="0"/>
        <v>Bulk</v>
      </c>
      <c r="G48" s="1" t="s">
        <v>22</v>
      </c>
      <c r="H48" s="1"/>
      <c r="I48" s="1" t="s">
        <v>21</v>
      </c>
      <c r="J48" s="1" t="s">
        <v>68</v>
      </c>
      <c r="K48" s="1" t="s">
        <v>68</v>
      </c>
      <c r="L48" s="1" t="s">
        <v>27</v>
      </c>
      <c r="M48" s="1" t="s">
        <v>65</v>
      </c>
    </row>
    <row r="49" spans="1:16" ht="135" x14ac:dyDescent="0.25">
      <c r="A49" s="1" t="s">
        <v>147</v>
      </c>
      <c r="B49" s="1" t="s">
        <v>148</v>
      </c>
      <c r="C49" s="1">
        <v>2024</v>
      </c>
      <c r="D49" s="11" t="str">
        <f t="shared" si="1"/>
        <v>2020s</v>
      </c>
      <c r="E49" t="s">
        <v>17</v>
      </c>
      <c r="F49" t="str">
        <f t="shared" si="0"/>
        <v>Local</v>
      </c>
      <c r="G49" s="1" t="s">
        <v>22</v>
      </c>
      <c r="H49" s="1"/>
      <c r="I49" s="1" t="s">
        <v>21</v>
      </c>
      <c r="J49" s="1" t="s">
        <v>68</v>
      </c>
      <c r="K49" s="1" t="s">
        <v>68</v>
      </c>
      <c r="L49" s="1" t="s">
        <v>27</v>
      </c>
      <c r="M49" s="1" t="s">
        <v>146</v>
      </c>
    </row>
    <row r="50" spans="1:16" ht="120" x14ac:dyDescent="0.25">
      <c r="A50" s="1" t="s">
        <v>144</v>
      </c>
      <c r="B50" s="1" t="s">
        <v>145</v>
      </c>
      <c r="C50" s="1">
        <v>2024</v>
      </c>
      <c r="D50" s="11" t="str">
        <f t="shared" si="1"/>
        <v>2020s</v>
      </c>
      <c r="E50" t="s">
        <v>17</v>
      </c>
      <c r="F50" t="str">
        <f t="shared" si="0"/>
        <v>Local</v>
      </c>
      <c r="G50" s="1" t="s">
        <v>22</v>
      </c>
      <c r="H50" s="1"/>
      <c r="I50" s="1" t="s">
        <v>21</v>
      </c>
      <c r="J50" s="1" t="s">
        <v>125</v>
      </c>
      <c r="K50" s="1" t="s">
        <v>125</v>
      </c>
      <c r="L50" s="1" t="s">
        <v>28</v>
      </c>
      <c r="M50" s="1" t="s">
        <v>146</v>
      </c>
    </row>
    <row r="51" spans="1:16" ht="195" x14ac:dyDescent="0.25">
      <c r="A51" s="1" t="s">
        <v>149</v>
      </c>
      <c r="B51" s="1" t="s">
        <v>150</v>
      </c>
      <c r="C51" s="1">
        <v>2024</v>
      </c>
      <c r="D51" s="11" t="str">
        <f t="shared" si="1"/>
        <v>2020s</v>
      </c>
      <c r="E51" t="s">
        <v>17</v>
      </c>
      <c r="F51" t="str">
        <f t="shared" si="0"/>
        <v>Local</v>
      </c>
      <c r="G51" s="1" t="s">
        <v>22</v>
      </c>
      <c r="H51" s="1"/>
      <c r="I51" s="1" t="s">
        <v>85</v>
      </c>
      <c r="J51" s="1" t="s">
        <v>201</v>
      </c>
      <c r="K51" s="1" t="s">
        <v>151</v>
      </c>
      <c r="L51" s="1" t="s">
        <v>122</v>
      </c>
      <c r="M51" s="1" t="s">
        <v>64</v>
      </c>
    </row>
    <row r="52" spans="1:16" ht="180" x14ac:dyDescent="0.25">
      <c r="A52" s="1" t="s">
        <v>152</v>
      </c>
      <c r="B52" s="1" t="s">
        <v>153</v>
      </c>
      <c r="C52" s="1">
        <v>2024</v>
      </c>
      <c r="D52" s="11" t="str">
        <f t="shared" si="1"/>
        <v>2020s</v>
      </c>
      <c r="E52" t="s">
        <v>17</v>
      </c>
      <c r="F52" t="str">
        <f t="shared" si="0"/>
        <v>Local</v>
      </c>
      <c r="G52" s="1" t="s">
        <v>22</v>
      </c>
      <c r="H52" s="1"/>
      <c r="I52" s="1" t="s">
        <v>21</v>
      </c>
      <c r="J52" s="1" t="s">
        <v>125</v>
      </c>
      <c r="K52" s="1" t="s">
        <v>125</v>
      </c>
      <c r="L52" s="1" t="s">
        <v>28</v>
      </c>
      <c r="M52" s="1" t="s">
        <v>64</v>
      </c>
    </row>
    <row r="53" spans="1:16" ht="180" x14ac:dyDescent="0.25">
      <c r="A53" s="1" t="s">
        <v>152</v>
      </c>
      <c r="B53" s="1" t="s">
        <v>153</v>
      </c>
      <c r="C53" s="1">
        <v>2024</v>
      </c>
      <c r="D53" s="11" t="str">
        <f t="shared" si="1"/>
        <v>2020s</v>
      </c>
      <c r="E53" t="s">
        <v>17</v>
      </c>
      <c r="F53" t="str">
        <f t="shared" ref="F53" si="3">IF(E53="1D","Bulk",
IF(E53="x","","Local"))</f>
        <v>Local</v>
      </c>
      <c r="G53" s="1" t="s">
        <v>22</v>
      </c>
      <c r="H53" s="1"/>
      <c r="I53" s="1" t="s">
        <v>21</v>
      </c>
      <c r="J53" s="1" t="s">
        <v>200</v>
      </c>
      <c r="K53" s="1" t="s">
        <v>195</v>
      </c>
      <c r="L53" s="1" t="s">
        <v>28</v>
      </c>
      <c r="M53" s="1" t="s">
        <v>64</v>
      </c>
    </row>
    <row r="54" spans="1:16" ht="195" x14ac:dyDescent="0.25">
      <c r="A54" s="1" t="s">
        <v>66</v>
      </c>
      <c r="B54" s="1" t="s">
        <v>67</v>
      </c>
      <c r="C54" s="1">
        <v>2025</v>
      </c>
      <c r="D54" s="11" t="str">
        <f t="shared" si="1"/>
        <v>2020s</v>
      </c>
      <c r="E54" t="s">
        <v>16</v>
      </c>
      <c r="F54" t="str">
        <f t="shared" si="0"/>
        <v>Bulk</v>
      </c>
      <c r="G54" s="1" t="s">
        <v>22</v>
      </c>
      <c r="H54" s="1"/>
      <c r="I54" s="1" t="s">
        <v>85</v>
      </c>
      <c r="J54" s="1" t="s">
        <v>68</v>
      </c>
      <c r="K54" s="1" t="s">
        <v>68</v>
      </c>
      <c r="L54" s="1" t="s">
        <v>69</v>
      </c>
      <c r="M54" s="1" t="s">
        <v>55</v>
      </c>
    </row>
    <row r="55" spans="1:16" ht="150" x14ac:dyDescent="0.25">
      <c r="A55" s="1" t="s">
        <v>70</v>
      </c>
      <c r="B55" s="1" t="s">
        <v>71</v>
      </c>
      <c r="C55" s="1">
        <v>2025</v>
      </c>
      <c r="D55" s="11" t="str">
        <f t="shared" si="1"/>
        <v>2020s</v>
      </c>
      <c r="E55" t="s">
        <v>33</v>
      </c>
      <c r="F55" t="str">
        <f t="shared" si="0"/>
        <v>Local</v>
      </c>
      <c r="G55" s="1" t="s">
        <v>22</v>
      </c>
      <c r="H55" s="1"/>
      <c r="I55" s="1" t="s">
        <v>85</v>
      </c>
      <c r="J55" s="1" t="s">
        <v>68</v>
      </c>
      <c r="K55" s="1" t="s">
        <v>68</v>
      </c>
      <c r="L55" s="1" t="s">
        <v>69</v>
      </c>
      <c r="M55" s="1" t="s">
        <v>184</v>
      </c>
    </row>
    <row r="56" spans="1:16" ht="225" x14ac:dyDescent="0.25">
      <c r="A56" s="1" t="s">
        <v>142</v>
      </c>
      <c r="B56" s="1" t="s">
        <v>143</v>
      </c>
      <c r="C56" s="1">
        <v>2025</v>
      </c>
      <c r="D56" s="11" t="str">
        <f t="shared" si="1"/>
        <v>2020s</v>
      </c>
      <c r="E56" t="s">
        <v>17</v>
      </c>
      <c r="F56" t="str">
        <f t="shared" ref="F56:F57" si="4">IF(E56="1D","Bulk",
IF(E56="x","","Local"))</f>
        <v>Local</v>
      </c>
      <c r="G56" s="1" t="s">
        <v>22</v>
      </c>
      <c r="H56" s="1"/>
      <c r="I56" s="1" t="s">
        <v>21</v>
      </c>
      <c r="J56" s="1" t="s">
        <v>35</v>
      </c>
      <c r="K56" s="1" t="s">
        <v>35</v>
      </c>
      <c r="L56" s="1" t="s">
        <v>27</v>
      </c>
      <c r="M56" s="1" t="s">
        <v>98</v>
      </c>
    </row>
    <row r="57" spans="1:16" ht="180" x14ac:dyDescent="0.25">
      <c r="A57" s="1" t="s">
        <v>120</v>
      </c>
      <c r="B57" s="1" t="s">
        <v>121</v>
      </c>
      <c r="C57" s="1">
        <v>2020</v>
      </c>
      <c r="D57" s="11" t="str">
        <f t="shared" si="1"/>
        <v>2020s</v>
      </c>
      <c r="E57" t="s">
        <v>17</v>
      </c>
      <c r="F57" t="str">
        <f t="shared" si="4"/>
        <v>Local</v>
      </c>
      <c r="G57" s="1" t="s">
        <v>22</v>
      </c>
      <c r="H57" s="1"/>
      <c r="I57" s="1" t="s">
        <v>85</v>
      </c>
      <c r="J57" s="1" t="s">
        <v>35</v>
      </c>
      <c r="K57" s="1" t="s">
        <v>35</v>
      </c>
      <c r="L57" s="1" t="s">
        <v>122</v>
      </c>
      <c r="M57" s="1" t="s">
        <v>55</v>
      </c>
    </row>
    <row r="63" spans="1:16" x14ac:dyDescent="0.25">
      <c r="O63" s="9"/>
      <c r="P63" s="9"/>
    </row>
    <row r="64" spans="1:16" x14ac:dyDescent="0.25">
      <c r="O64" s="9"/>
      <c r="P64" s="9"/>
    </row>
    <row r="65" spans="15:16" x14ac:dyDescent="0.25">
      <c r="O65" s="9"/>
      <c r="P65" s="9"/>
    </row>
    <row r="66" spans="15:16" x14ac:dyDescent="0.25">
      <c r="O66" s="9"/>
      <c r="P66" s="9"/>
    </row>
    <row r="67" spans="15:16" x14ac:dyDescent="0.25">
      <c r="O67" s="9"/>
      <c r="P67" s="9"/>
    </row>
  </sheetData>
  <autoFilter ref="A1:M57" xr:uid="{E6CB053A-3EC6-42CC-928B-7A5F5AFD290C}">
    <sortState xmlns:xlrd2="http://schemas.microsoft.com/office/spreadsheetml/2017/richdata2" ref="A2:M57">
      <sortCondition ref="C1:C19"/>
    </sortState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EB1E-82E1-4D27-8E0E-142635B93B00}">
  <dimension ref="A5:B12"/>
  <sheetViews>
    <sheetView workbookViewId="0">
      <selection activeCell="D25" sqref="A1:XFD1048576"/>
    </sheetView>
  </sheetViews>
  <sheetFormatPr baseColWidth="10" defaultRowHeight="15" x14ac:dyDescent="0.25"/>
  <sheetData>
    <row r="5" spans="1:2" x14ac:dyDescent="0.25">
      <c r="B5" t="s">
        <v>155</v>
      </c>
    </row>
    <row r="6" spans="1:2" x14ac:dyDescent="0.25">
      <c r="A6" t="s">
        <v>19</v>
      </c>
      <c r="B6" t="s">
        <v>156</v>
      </c>
    </row>
    <row r="7" spans="1:2" x14ac:dyDescent="0.25">
      <c r="A7" t="s">
        <v>43</v>
      </c>
      <c r="B7" t="s">
        <v>156</v>
      </c>
    </row>
    <row r="8" spans="1:2" x14ac:dyDescent="0.25">
      <c r="A8" t="s">
        <v>44</v>
      </c>
      <c r="B8" t="s">
        <v>156</v>
      </c>
    </row>
    <row r="9" spans="1:2" x14ac:dyDescent="0.25">
      <c r="A9" t="s">
        <v>45</v>
      </c>
    </row>
    <row r="10" spans="1:2" x14ac:dyDescent="0.25">
      <c r="A10" t="s">
        <v>46</v>
      </c>
      <c r="B10" t="s">
        <v>156</v>
      </c>
    </row>
    <row r="11" spans="1:2" x14ac:dyDescent="0.25">
      <c r="A11" t="s">
        <v>47</v>
      </c>
      <c r="B11" t="s">
        <v>156</v>
      </c>
    </row>
    <row r="12" spans="1:2" x14ac:dyDescent="0.25">
      <c r="A12" t="s">
        <v>154</v>
      </c>
      <c r="B12" t="s">
        <v>156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09B9-A091-49D0-A255-86198F187670}">
  <dimension ref="K7:L56"/>
  <sheetViews>
    <sheetView workbookViewId="0">
      <selection activeCell="O31" sqref="A1:XFD1048576"/>
    </sheetView>
  </sheetViews>
  <sheetFormatPr baseColWidth="10" defaultRowHeight="15" x14ac:dyDescent="0.25"/>
  <sheetData>
    <row r="7" spans="11:12" x14ac:dyDescent="0.25">
      <c r="K7" t="s">
        <v>183</v>
      </c>
    </row>
    <row r="12" spans="11:12" x14ac:dyDescent="0.25">
      <c r="L12" t="s">
        <v>162</v>
      </c>
    </row>
    <row r="13" spans="11:12" x14ac:dyDescent="0.25">
      <c r="K13" t="s">
        <v>165</v>
      </c>
      <c r="L13" t="s">
        <v>163</v>
      </c>
    </row>
    <row r="14" spans="11:12" x14ac:dyDescent="0.25">
      <c r="K14" t="s">
        <v>165</v>
      </c>
      <c r="L14" t="s">
        <v>164</v>
      </c>
    </row>
    <row r="21" spans="11:12" x14ac:dyDescent="0.25">
      <c r="L21" t="s">
        <v>167</v>
      </c>
    </row>
    <row r="22" spans="11:12" x14ac:dyDescent="0.25">
      <c r="K22" t="s">
        <v>165</v>
      </c>
      <c r="L22" t="s">
        <v>166</v>
      </c>
    </row>
    <row r="31" spans="11:12" x14ac:dyDescent="0.25">
      <c r="L31" t="s">
        <v>167</v>
      </c>
    </row>
    <row r="32" spans="11:12" x14ac:dyDescent="0.25">
      <c r="K32" t="s">
        <v>165</v>
      </c>
      <c r="L32" t="s">
        <v>168</v>
      </c>
    </row>
    <row r="33" spans="11:12" x14ac:dyDescent="0.25">
      <c r="K33" t="s">
        <v>169</v>
      </c>
      <c r="L33" t="s">
        <v>170</v>
      </c>
    </row>
    <row r="34" spans="11:12" ht="15.75" x14ac:dyDescent="0.25">
      <c r="L34" s="3" t="s">
        <v>182</v>
      </c>
    </row>
    <row r="35" spans="11:12" ht="15.75" x14ac:dyDescent="0.25">
      <c r="L35" s="3" t="s">
        <v>171</v>
      </c>
    </row>
    <row r="36" spans="11:12" ht="15.75" x14ac:dyDescent="0.25">
      <c r="L36" s="3" t="s">
        <v>181</v>
      </c>
    </row>
    <row r="37" spans="11:12" ht="15.75" x14ac:dyDescent="0.25">
      <c r="L37" s="3" t="s">
        <v>172</v>
      </c>
    </row>
    <row r="38" spans="11:12" ht="15.75" x14ac:dyDescent="0.25">
      <c r="L38" s="3" t="s">
        <v>173</v>
      </c>
    </row>
    <row r="39" spans="11:12" ht="15.75" x14ac:dyDescent="0.25">
      <c r="L39" s="3" t="s">
        <v>174</v>
      </c>
    </row>
    <row r="40" spans="11:12" ht="15.75" x14ac:dyDescent="0.25">
      <c r="L40" s="3" t="s">
        <v>175</v>
      </c>
    </row>
    <row r="41" spans="11:12" ht="15.75" x14ac:dyDescent="0.25">
      <c r="L41" s="3" t="s">
        <v>176</v>
      </c>
    </row>
    <row r="42" spans="11:12" ht="15.75" x14ac:dyDescent="0.25">
      <c r="L42" s="3" t="s">
        <v>177</v>
      </c>
    </row>
    <row r="45" spans="11:12" x14ac:dyDescent="0.25">
      <c r="L45" t="s">
        <v>167</v>
      </c>
    </row>
    <row r="46" spans="11:12" x14ac:dyDescent="0.25">
      <c r="K46" t="s">
        <v>165</v>
      </c>
      <c r="L46" t="s">
        <v>163</v>
      </c>
    </row>
    <row r="52" spans="11:12" ht="15.75" x14ac:dyDescent="0.25">
      <c r="L52" s="3" t="s">
        <v>178</v>
      </c>
    </row>
    <row r="53" spans="11:12" ht="15.75" x14ac:dyDescent="0.25">
      <c r="K53" t="s">
        <v>165</v>
      </c>
      <c r="L53" s="3" t="s">
        <v>164</v>
      </c>
    </row>
    <row r="54" spans="11:12" ht="15.75" x14ac:dyDescent="0.25">
      <c r="K54" t="s">
        <v>165</v>
      </c>
      <c r="L54" s="3" t="s">
        <v>167</v>
      </c>
    </row>
    <row r="55" spans="11:12" ht="15.75" x14ac:dyDescent="0.25">
      <c r="K55" t="s">
        <v>165</v>
      </c>
      <c r="L55" s="3" t="s">
        <v>179</v>
      </c>
    </row>
    <row r="56" spans="11:12" ht="15.75" x14ac:dyDescent="0.25">
      <c r="K56" t="s">
        <v>169</v>
      </c>
      <c r="L56" s="3" t="s">
        <v>180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Models</vt:lpstr>
      <vt:lpstr>PHD and Master thesises to read</vt:lpstr>
      <vt:lpstr>Keywords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Sarkany, Andreas</dc:creator>
  <cp:lastModifiedBy>Sarkany, Andreas</cp:lastModifiedBy>
  <dcterms:created xsi:type="dcterms:W3CDTF">2025-11-30T14:05:43Z</dcterms:created>
  <dcterms:modified xsi:type="dcterms:W3CDTF">2026-05-19T13:55:50Z</dcterms:modified>
</cp:coreProperties>
</file>